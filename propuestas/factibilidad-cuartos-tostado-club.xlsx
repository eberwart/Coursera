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Resumen" sheetId="2" state="visible" r:id="rId2"/>
    <sheet name="Parametros" sheetId="3" state="visible" r:id="rId3"/>
    <sheet name="Lote 1 tonelada" sheetId="4" state="visible" r:id="rId4"/>
    <sheet name="Costo por cuarto" sheetId="5" state="visible" r:id="rId5"/>
    <sheet name="Escenarios" sheetId="6" state="visible" r:id="rId6"/>
    <sheet name="Sensibilidad" sheetId="7" state="visible" r:id="rId7"/>
    <sheet name="Calc" sheetId="8" state="hidden" r:id="rId8"/>
  </sheets>
  <definedNames>
    <definedName name="KgVerde">Parametros!$B$6</definedName>
    <definedName name="MermaTostado">Parametros!$B$7</definedName>
    <definedName name="PesoCuartoG">Parametros!$B$8</definedName>
    <definedName name="MermaEmpaque">Parametros!$B$9</definedName>
    <definedName name="IVA">Parametros!$B$11</definedName>
    <definedName name="PrecioVerdeBase">Parametros!$B$12</definedName>
    <definedName name="MaquilaKg">Parametros!$B$13</definedName>
    <definedName name="MaquilaSobre">Parametros!$B$14</definedName>
    <definedName name="PrecioBolsa">Parametros!$B$15</definedName>
    <definedName name="PrecioEtiqueta">Parametros!$B$16</definedName>
    <definedName name="PrecioVentaCuarto">Parametros!$B$17</definedName>
    <definedName name="FleteLote">Parametros!$B$19</definedName>
    <definedName name="MOEmpaqueCuarto">Parametros!$B$20</definedName>
    <definedName name="OtrosLote">Parametros!$B$21</definedName>
    <definedName name="EscA">Parametros!$B$23</definedName>
    <definedName name="EscB">Parametros!$B$24</definedName>
    <definedName name="EscC">Parametros!$B$25</definedName>
    <definedName name="EscD">Parametros!$B$26</definedName>
    <definedName name="EscE">Parametros!$B$27</definedName>
    <definedName name="MargenObjetivo">Parametros!$B$29</definedName>
    <definedName name="KgTostado">Calc!$B$2</definedName>
    <definedName name="KgPorCuarto">Calc!$B$3</definedName>
    <definedName name="Cuartos">Calc!$B$4</definedName>
    <definedName name="SobranteG">Calc!$B$5</definedName>
    <definedName name="Bolsas">Calc!$B$6</definedName>
    <definedName name="KgMaquila">Calc!$B$7</definedName>
    <definedName name="CostoVerde">Calc!$B$9</definedName>
    <definedName name="CostoMaquila">Calc!$B$10</definedName>
    <definedName name="CostoBolsas">Calc!$B$11</definedName>
    <definedName name="CostoEtiquetas">Calc!$B$12</definedName>
    <definedName name="CostoMO">Calc!$B$13</definedName>
    <definedName name="CostoFlete">Calc!$B$14</definedName>
    <definedName name="CostoOtros">Calc!$B$15</definedName>
    <definedName name="CostoTotal">Calc!$B$16</definedName>
    <definedName name="CostoSinVerde">Calc!$B$17</definedName>
    <definedName name="VentaNeta">Calc!$B$19</definedName>
    <definedName name="Utilidad">Calc!$B$20</definedName>
    <definedName name="Margen">Calc!$B$21</definedName>
    <definedName name="Markup">Calc!$B$22</definedName>
    <definedName name="CostoCuarto">Calc!$B$24</definedName>
    <definedName name="CostoKgTostado">Calc!$B$25</definedName>
    <definedName name="UtilidadCuarto">Calc!$B$26</definedName>
    <definedName name="PrecioKgTostadoVenta">Calc!$B$27</definedName>
    <definedName name="IvaCredito">Calc!$B$29</definedName>
    <definedName name="IvaDebito">Calc!$B$30</definedName>
    <definedName name="IvaPagar">Calc!$B$31</definedName>
    <definedName name="CajaSalida">Calc!$B$32</definedName>
    <definedName name="CajaEntrada">Calc!$B$33</definedName>
    <definedName name="FlujoCaja">Calc!$B$34</definedName>
    <definedName name="PrecioVerdeMaxCero">Calc!$B$36</definedName>
    <definedName name="PrecioVerdeMaxObj">Calc!$B$37</definedName>
    <definedName name="VentaMinCuarto">Calc!$B$38</definedName>
    <definedName name="VentaMinObj">Calc!$B$39</definedName>
    <definedName name="Factible">Calc!$B$40</definedName>
    <definedName name="CostoVerdeCuarto">Calc!$B$41</definedName>
    <definedName name="CostoMaquilaCuarto">Calc!$B$42</definedName>
    <definedName name="CostoBolsaCuarto">Calc!$B$43</definedName>
    <definedName name="CostoEtiqCuarto">Calc!$B$44</definedName>
    <definedName name="CostoOtrosCuarto">Calc!$B$45</definedName>
    <definedName name="Rendimiento">Calc!$B$46</definedName>
    <definedName name="CuartosPorKgVerde">Calc!$B$47</definedName>
    <definedName name="_xlnm.Print_Area" localSheetId="1">'Resumen'!$A$1:$H$36</definedName>
    <definedName name="_xlnm.Print_Titles" localSheetId="2">'Parametros'!$1:$2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#,##0.0"/>
    <numFmt numFmtId="167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BF6F0"/>
      <sz val="12"/>
    </font>
    <font>
      <name val="Calibri"/>
      <i val="1"/>
      <color rgb="003C2415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3C2415"/>
      <sz val="11"/>
    </font>
    <font>
      <name val="Calibri"/>
      <b val="1"/>
      <color rgb="003C2415"/>
      <sz val="12"/>
    </font>
    <font>
      <name val="Calibri"/>
      <i val="1"/>
      <color rgb="005C534A"/>
      <sz val="9"/>
    </font>
    <font>
      <name val="Calibri"/>
      <b val="1"/>
      <color rgb="003C2415"/>
      <sz val="28"/>
    </font>
    <font>
      <name val="Calibri"/>
      <color rgb="00FFFFFF"/>
      <sz val="11"/>
    </font>
    <font>
      <name val="Calibri"/>
      <b val="1"/>
      <color rgb="003C2415"/>
      <sz val="18"/>
    </font>
    <font>
      <name val="Calibri"/>
      <color rgb="001A1A1A"/>
      <sz val="11"/>
    </font>
    <font>
      <name val="Calibri"/>
      <b val="1"/>
      <color rgb="003C2415"/>
      <sz val="11"/>
    </font>
    <font>
      <name val="Calibri"/>
      <b val="1"/>
      <sz val="12"/>
    </font>
  </fonts>
  <fills count="13">
    <fill>
      <patternFill/>
    </fill>
    <fill>
      <patternFill patternType="gray125"/>
    </fill>
    <fill>
      <patternFill patternType="solid">
        <fgColor rgb="003C2415"/>
      </patternFill>
    </fill>
    <fill>
      <patternFill patternType="solid">
        <fgColor rgb="006B3F2A"/>
      </patternFill>
    </fill>
    <fill>
      <patternFill patternType="solid">
        <fgColor rgb="00C4A35A"/>
      </patternFill>
    </fill>
    <fill>
      <patternFill patternType="solid">
        <fgColor rgb="00FBF6F0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F3EDE3"/>
      </patternFill>
    </fill>
    <fill>
      <patternFill patternType="solid">
        <fgColor rgb="00D8F3E2"/>
      </patternFill>
    </fill>
    <fill>
      <patternFill patternType="solid">
        <fgColor rgb="001F7A4D"/>
      </patternFill>
    </fill>
    <fill>
      <patternFill patternType="solid">
        <fgColor rgb="00D6EAF0"/>
      </patternFill>
    </fill>
    <fill>
      <patternFill patternType="solid">
        <fgColor rgb="00EFEAE3"/>
      </patternFill>
    </fill>
  </fills>
  <borders count="6">
    <border>
      <left/>
      <right/>
      <top/>
      <bottom/>
      <diagonal/>
    </border>
    <border>
      <left style="thin">
        <color rgb="00D4C4B0"/>
      </left>
      <right style="thin">
        <color rgb="00D4C4B0"/>
      </right>
      <top style="thin">
        <color rgb="00D4C4B0"/>
      </top>
      <bottom style="thin">
        <color rgb="00D4C4B0"/>
      </bottom>
    </border>
    <border>
      <left style="medium">
        <color rgb="00C4A35A"/>
      </left>
      <right style="medium">
        <color rgb="00C4A35A"/>
      </right>
      <top style="medium">
        <color rgb="00C4A35A"/>
      </top>
      <bottom style="medium">
        <color rgb="00C4A35A"/>
      </bottom>
    </border>
    <border>
      <left/>
      <right/>
      <top style="thin">
        <color rgb="00D4C4B0"/>
      </top>
      <bottom/>
      <diagonal/>
    </border>
    <border>
      <left/>
      <right style="thin">
        <color rgb="00D4C4B0"/>
      </right>
      <top style="thin">
        <color rgb="00D4C4B0"/>
      </top>
      <bottom/>
      <diagonal/>
    </border>
    <border>
      <left/>
      <right style="thin">
        <color rgb="00D4C4B0"/>
      </right>
      <top style="thin">
        <color rgb="00D4C4B0"/>
      </top>
      <bottom style="thin">
        <color rgb="00D4C4B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3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vertical="top" wrapText="1" indent="1"/>
    </xf>
    <xf numFmtId="0" fontId="0" fillId="5" borderId="1" pivotButton="0" quotePrefix="0" xfId="0"/>
    <xf numFmtId="0" fontId="8" fillId="12" borderId="1" applyAlignment="1" pivotButton="0" quotePrefix="0" xfId="0">
      <alignment vertical="center" wrapText="1" indent="1"/>
    </xf>
    <xf numFmtId="0" fontId="0" fillId="1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9" fillId="0" borderId="2" applyAlignment="1" pivotButton="0" quotePrefix="0" xfId="0">
      <alignment horizontal="center" vertical="center"/>
    </xf>
    <xf numFmtId="3" fontId="11" fillId="5" borderId="1" applyAlignment="1" pivotButton="0" quotePrefix="0" xfId="0">
      <alignment horizontal="center" vertical="center"/>
    </xf>
    <xf numFmtId="166" fontId="11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11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12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center" vertical="center" wrapText="1"/>
    </xf>
    <xf numFmtId="167" fontId="12" fillId="7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167" fontId="12" fillId="8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top" wrapText="1" indent="1"/>
    </xf>
    <xf numFmtId="0" fontId="3" fillId="4" borderId="0" applyAlignment="1" pivotButton="0" quotePrefix="0" xfId="0">
      <alignment horizontal="left" vertical="center" wrapText="1" indent="1"/>
    </xf>
    <xf numFmtId="0" fontId="0" fillId="4" borderId="0" pivotButton="0" quotePrefix="0" xfId="0"/>
    <xf numFmtId="3" fontId="7" fillId="6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3" fontId="12" fillId="8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5" fontId="12" fillId="5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167" fontId="12" fillId="5" borderId="1" applyAlignment="1" pivotButton="0" quotePrefix="0" xfId="0">
      <alignment horizontal="right" vertical="center"/>
    </xf>
    <xf numFmtId="0" fontId="4" fillId="2" borderId="1" pivotButton="0" quotePrefix="0" xfId="0"/>
    <xf numFmtId="165" fontId="4" fillId="2" borderId="1" pivotButton="0" quotePrefix="0" xfId="0"/>
    <xf numFmtId="164" fontId="4" fillId="2" borderId="1" pivotButton="0" quotePrefix="0" xfId="0"/>
    <xf numFmtId="167" fontId="4" fillId="2" borderId="1" pivotButton="0" quotePrefix="0" xfId="0"/>
    <xf numFmtId="0" fontId="0" fillId="7" borderId="1" pivotButton="0" quotePrefix="0" xfId="0"/>
    <xf numFmtId="0" fontId="6" fillId="9" borderId="1" applyAlignment="1" pivotButton="0" quotePrefix="0" xfId="0">
      <alignment horizontal="left" vertical="center" wrapText="1"/>
    </xf>
    <xf numFmtId="165" fontId="7" fillId="9" borderId="1" applyAlignment="1" pivotButton="0" quotePrefix="0" xfId="0">
      <alignment horizontal="right" vertical="center"/>
    </xf>
    <xf numFmtId="0" fontId="0" fillId="9" borderId="1" pivotButton="0" quotePrefix="0" xfId="0"/>
    <xf numFmtId="164" fontId="7" fillId="9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top" wrapText="1" indent="1"/>
    </xf>
    <xf numFmtId="0" fontId="4" fillId="10" borderId="1" pivotButton="0" quotePrefix="0" xfId="0"/>
    <xf numFmtId="165" fontId="4" fillId="10" borderId="1" pivotButton="0" quotePrefix="0" xfId="0"/>
    <xf numFmtId="164" fontId="4" fillId="10" borderId="1" pivotButton="0" quotePrefix="0" xfId="0"/>
    <xf numFmtId="0" fontId="13" fillId="4" borderId="1" pivotButton="0" quotePrefix="0" xfId="0"/>
    <xf numFmtId="167" fontId="7" fillId="4" borderId="1" pivotButton="0" quotePrefix="0" xfId="0"/>
    <xf numFmtId="164" fontId="7" fillId="4" borderId="1" pivotButton="0" quotePrefix="0" xfId="0"/>
    <xf numFmtId="0" fontId="8" fillId="4" borderId="0" applyAlignment="1" pivotButton="0" quotePrefix="0" xfId="0">
      <alignment vertical="center" indent="1"/>
    </xf>
    <xf numFmtId="165" fontId="7" fillId="8" borderId="1" applyAlignment="1" pivotButton="0" quotePrefix="0" xfId="0">
      <alignment horizontal="center" vertical="center"/>
    </xf>
    <xf numFmtId="0" fontId="8" fillId="0" borderId="0" pivotButton="0" quotePrefix="0" xfId="0"/>
    <xf numFmtId="166" fontId="12" fillId="7" borderId="1" applyAlignment="1" pivotButton="0" quotePrefix="0" xfId="0">
      <alignment horizontal="right" vertical="center"/>
    </xf>
    <xf numFmtId="3" fontId="12" fillId="7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 wrapText="1"/>
    </xf>
    <xf numFmtId="165" fontId="12" fillId="9" borderId="1" applyAlignment="1" pivotButton="0" quotePrefix="0" xfId="0">
      <alignment horizontal="right" vertical="center"/>
    </xf>
    <xf numFmtId="164" fontId="12" fillId="9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165" fontId="12" fillId="11" borderId="1" applyAlignment="1" pivotButton="0" quotePrefix="0" xfId="0">
      <alignment horizontal="right" vertical="center"/>
    </xf>
    <xf numFmtId="164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5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vertical="center" wrapText="1"/>
    </xf>
    <xf numFmtId="165" fontId="4" fillId="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0" pivotButton="0" quotePrefix="0" xfId="0"/>
  </cellXfs>
  <cellStyles count="1">
    <cellStyle name="Normal" xfId="0" builtinId="0" hidden="0"/>
  </cellStyles>
  <dxfs count="7">
    <dxf>
      <font>
        <name val="Calibri"/>
        <b val="1"/>
        <color rgb="001F7A4D"/>
        <sz val="28"/>
      </font>
      <fill>
        <patternFill patternType="solid">
          <fgColor rgb="00D8F3E2"/>
        </patternFill>
      </fill>
    </dxf>
    <dxf>
      <font>
        <name val="Calibri"/>
        <b val="1"/>
        <color rgb="009B2335"/>
        <sz val="28"/>
      </font>
      <fill>
        <patternFill patternType="solid">
          <fgColor rgb="00F8D7DA"/>
        </patternFill>
      </fill>
    </dxf>
    <dxf>
      <font>
        <b val="1"/>
        <color rgb="001F7A4D"/>
      </font>
      <fill>
        <patternFill patternType="solid">
          <fgColor rgb="00D8F3E2"/>
        </patternFill>
      </fill>
    </dxf>
    <dxf>
      <font>
        <b val="1"/>
        <color rgb="009B2335"/>
      </font>
      <fill>
        <patternFill patternType="solid">
          <fgColor rgb="00F8D7DA"/>
        </patternFill>
      </fill>
    </dxf>
    <dxf>
      <font>
        <b val="1"/>
        <color rgb="001F7A4D"/>
        <sz val="12"/>
      </font>
      <fill>
        <patternFill patternType="solid">
          <fgColor rgb="00D8F3E2"/>
        </patternFill>
      </fill>
    </dxf>
    <dxf>
      <font>
        <b val="1"/>
        <color rgb="009B2335"/>
        <sz val="12"/>
      </font>
      <fill>
        <patternFill patternType="solid">
          <fgColor rgb="00F8D7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Composición del costo por cuarto</a:t>
            </a:r>
          </a:p>
        </rich>
      </tx>
    </title>
    <plotArea>
      <barChart>
        <barDir val="bar"/>
        <grouping val="stacked"/>
        <ser>
          <idx val="0"/>
          <order val="0"/>
          <spPr>
            <a:ln>
              <a:prstDash val="solid"/>
            </a:ln>
          </spPr>
          <cat>
            <numRef>
              <f>'Costo por cuarto'!$A$6:$A$10</f>
            </numRef>
          </cat>
          <val>
            <numRef>
              <f>'Costo por cuarto'!$B$6:$B$10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neta del lote según precio del verde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'Escenarios'!$C$6:$G$6</f>
            </numRef>
          </cat>
          <val>
            <numRef>
              <f>'Escenarios'!$C$22:$G$22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Pesos netos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Margen neto según precio del verde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'Escenarios'!$C$6:$G$6</f>
            </numRef>
          </cat>
          <val>
            <numRef>
              <f>'Escenarios'!$C$23:$G$23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Margen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3C2415"/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Planilla de factibilidad  ·  cuartos para Tostado Club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Coffee Roasting Labs  ·  Tostaduría Erik Berwart Araya EIRL  ·  RUT 77.586.349-8</t>
        </is>
      </c>
      <c r="B2" s="4" t="n"/>
      <c r="C2" s="4" t="n"/>
      <c r="D2" s="4" t="n"/>
      <c r="E2" s="4" t="n"/>
      <c r="F2" s="4" t="n"/>
    </row>
    <row r="4" ht="20" customHeight="1">
      <c r="A4" s="5" t="inlineStr">
        <is>
          <t>Para qué sirve</t>
        </is>
      </c>
      <c r="B4" s="4" t="n"/>
      <c r="C4" s="4" t="n"/>
      <c r="D4" s="4" t="n"/>
      <c r="E4" s="4" t="n"/>
      <c r="F4" s="4" t="n"/>
    </row>
    <row r="5" ht="20" customHeight="1">
      <c r="A5" s="6" t="inlineStr">
        <is>
          <t>Decidir si conviene comprar 1.000 kg de café verde, tostarlo (maquila), empacarlo en cuartos de 250 g y vendérselos a Tostado Club a $6.000 + IVA. Compara cinco precios de verde y te dice el margen, la caja que hay que poner y el precio máximo de verde para no perder.</t>
        </is>
      </c>
      <c r="B5" s="7" t="n"/>
      <c r="C5" s="7" t="n"/>
      <c r="D5" s="7" t="n"/>
      <c r="E5" s="7" t="n"/>
      <c r="F5" s="7" t="n"/>
    </row>
    <row r="6" ht="20" customHeight="1">
      <c r="A6" s="7" t="n"/>
      <c r="B6" s="7" t="n"/>
      <c r="C6" s="7" t="n"/>
      <c r="D6" s="7" t="n"/>
      <c r="E6" s="7" t="n"/>
      <c r="F6" s="7" t="n"/>
    </row>
    <row r="7" ht="20" customHeight="1">
      <c r="A7" s="5" t="inlineStr">
        <is>
          <t>Cómo usarla</t>
        </is>
      </c>
      <c r="B7" s="4" t="n"/>
      <c r="C7" s="4" t="n"/>
      <c r="D7" s="4" t="n"/>
      <c r="E7" s="4" t="n"/>
      <c r="F7" s="4" t="n"/>
    </row>
    <row r="8" ht="20" customHeight="1">
      <c r="A8" s="6" t="inlineStr">
        <is>
          <t>1) Abre Parámetros y revisa las celdas amarillas. 2) Completa bolsas y etiquetas con tu cotización real (hoy hay un supuesto). 3) Mira Resumen: veredicto FACTIBLE / REVISAR. 4) En Escenarios ves $9.000, $9.500, $9.990, $10.000 y $10.500. 5) Sensibilidad sirve si cambia la merma, el precio de la bolsa o si negocias otro precio de venta.</t>
        </is>
      </c>
      <c r="B8" s="7" t="n"/>
      <c r="C8" s="7" t="n"/>
      <c r="D8" s="7" t="n"/>
      <c r="E8" s="7" t="n"/>
      <c r="F8" s="7" t="n"/>
    </row>
    <row r="9" ht="20" customHeight="1">
      <c r="A9" s="7" t="n"/>
      <c r="B9" s="7" t="n"/>
      <c r="C9" s="7" t="n"/>
      <c r="D9" s="7" t="n"/>
      <c r="E9" s="7" t="n"/>
      <c r="F9" s="7" t="n"/>
    </row>
    <row r="10" ht="20" customHeight="1">
      <c r="A10" s="5" t="inlineStr">
        <is>
          <t>Datos que pediste (ya cargados)</t>
        </is>
      </c>
      <c r="B10" s="4" t="n"/>
      <c r="C10" s="4" t="n"/>
      <c r="D10" s="4" t="n"/>
      <c r="E10" s="4" t="n"/>
      <c r="F10" s="4" t="n"/>
    </row>
    <row r="11" ht="20" customHeight="1">
      <c r="A11" s="6" t="inlineStr">
        <is>
          <t>· Compra: 1 tonelada (1.000 kg) de café verde.
· Verde: $9.990 + IVA/kg, y escenarios $9.000 / $9.500 / $10.000 / $10.500.
· Maquila: $1.500 + IVA/kg (por defecto sobre kg VERDE; cámbialo a Tostado si el maquilador cobra la salida).
· Venta: $6.000 + IVA por cuarto de 250 g.
· Bolsas y etiquetas: incluidos, con precio supuesto editable.</t>
        </is>
      </c>
      <c r="B11" s="7" t="n"/>
      <c r="C11" s="7" t="n"/>
      <c r="D11" s="7" t="n"/>
      <c r="E11" s="7" t="n"/>
      <c r="F11" s="7" t="n"/>
    </row>
    <row r="12" ht="20" customHeight="1">
      <c r="A12" s="7" t="n"/>
      <c r="B12" s="7" t="n"/>
      <c r="C12" s="7" t="n"/>
      <c r="D12" s="7" t="n"/>
      <c r="E12" s="7" t="n"/>
      <c r="F12" s="7" t="n"/>
    </row>
    <row r="13" ht="20" customHeight="1">
      <c r="A13" s="7" t="n"/>
      <c r="B13" s="7" t="n"/>
      <c r="C13" s="7" t="n"/>
      <c r="D13" s="7" t="n"/>
      <c r="E13" s="7" t="n"/>
      <c r="F13" s="7" t="n"/>
    </row>
    <row r="14" ht="20" customHeight="1">
      <c r="A14" s="7" t="n"/>
      <c r="B14" s="7" t="n"/>
      <c r="C14" s="7" t="n"/>
      <c r="D14" s="7" t="n"/>
      <c r="E14" s="7" t="n"/>
      <c r="F14" s="7" t="n"/>
    </row>
    <row r="15" ht="20" customHeight="1">
      <c r="A15" s="5" t="inlineStr">
        <is>
          <t>Supuestos que debes validar</t>
        </is>
      </c>
      <c r="B15" s="4" t="n"/>
      <c r="C15" s="4" t="n"/>
      <c r="D15" s="4" t="n"/>
      <c r="E15" s="4" t="n"/>
      <c r="F15" s="4" t="n"/>
    </row>
    <row r="16" ht="20" customHeight="1">
      <c r="A16" s="6" t="inlineStr">
        <is>
          <t>· Merma de tostado 18% (tueste medio). Mídela en el primer batch.
· Bolsa $300 + IVA (rango de mercado ~$286 a $700 según proveedor).
· Etiqueta $80 + IVA (tiraje de ~3.000 un.).
· Se vende el 100% del lote. Flete y mano de obra de empaque en 0 hasta que los cotices.
· IVA 19%. Los márgenes se miran NETOS; la caja se mira CON IVA.</t>
        </is>
      </c>
      <c r="B16" s="7" t="n"/>
      <c r="C16" s="7" t="n"/>
      <c r="D16" s="7" t="n"/>
      <c r="E16" s="7" t="n"/>
      <c r="F16" s="7" t="n"/>
    </row>
    <row r="17" ht="20" customHeight="1">
      <c r="A17" s="7" t="n"/>
      <c r="B17" s="7" t="n"/>
      <c r="C17" s="7" t="n"/>
      <c r="D17" s="7" t="n"/>
      <c r="E17" s="7" t="n"/>
      <c r="F17" s="7" t="n"/>
    </row>
    <row r="18" ht="20" customHeight="1">
      <c r="A18" s="7" t="n"/>
      <c r="B18" s="7" t="n"/>
      <c r="C18" s="7" t="n"/>
      <c r="D18" s="7" t="n"/>
      <c r="E18" s="7" t="n"/>
      <c r="F18" s="7" t="n"/>
    </row>
    <row r="19" ht="20" customHeight="1">
      <c r="A19" s="7" t="n"/>
      <c r="B19" s="7" t="n"/>
      <c r="C19" s="7" t="n"/>
      <c r="D19" s="7" t="n"/>
      <c r="E19" s="7" t="n"/>
      <c r="F19" s="7" t="n"/>
    </row>
    <row r="20" ht="20" customHeight="1">
      <c r="A20" s="5" t="inlineStr">
        <is>
          <t>Hojas</t>
        </is>
      </c>
      <c r="B20" s="4" t="n"/>
      <c r="C20" s="4" t="n"/>
      <c r="D20" s="4" t="n"/>
      <c r="E20" s="4" t="n"/>
      <c r="F20" s="4" t="n"/>
    </row>
    <row r="21" ht="20" customHeight="1">
      <c r="A21" s="6" t="inlineStr">
        <is>
          <t>Resumen — veredicto y números grandes.
Parametros — único lugar para editar.
Lote 1 tonelada — estado de resultados completo + IVA.
Costo por cuarto — de dónde sale cada peso de la bolsa.
Escenarios — los 5 precios de verde, lado a lado.
Sensibilidad — merma, bolsas y precio de venta.</t>
        </is>
      </c>
      <c r="B21" s="7" t="n"/>
      <c r="C21" s="7" t="n"/>
      <c r="D21" s="7" t="n"/>
      <c r="E21" s="7" t="n"/>
      <c r="F21" s="7" t="n"/>
    </row>
    <row r="22" ht="20" customHeight="1">
      <c r="A22" s="7" t="n"/>
      <c r="B22" s="7" t="n"/>
      <c r="C22" s="7" t="n"/>
      <c r="D22" s="7" t="n"/>
      <c r="E22" s="7" t="n"/>
      <c r="F22" s="7" t="n"/>
    </row>
    <row r="23" ht="20" customHeight="1">
      <c r="A23" s="7" t="n"/>
      <c r="B23" s="7" t="n"/>
      <c r="C23" s="7" t="n"/>
      <c r="D23" s="7" t="n"/>
      <c r="E23" s="7" t="n"/>
      <c r="F23" s="7" t="n"/>
    </row>
    <row r="24" ht="20" customHeight="1">
      <c r="A24" s="7" t="n"/>
      <c r="B24" s="7" t="n"/>
      <c r="C24" s="7" t="n"/>
      <c r="D24" s="7" t="n"/>
      <c r="E24" s="7" t="n"/>
      <c r="F24" s="7" t="n"/>
    </row>
    <row r="26">
      <c r="A26" s="8" t="inlineStr">
        <is>
          <t>Documento interno de trabajo. No es una cotización al cliente. Generado 2026-09-04. Cambia las celdas amarillas; no borres nombres definidos ni la hoja Calc (está oculta).</t>
        </is>
      </c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</sheetData>
  <mergeCells count="13">
    <mergeCell ref="A2:F2"/>
    <mergeCell ref="A21:F24"/>
    <mergeCell ref="A11:F14"/>
    <mergeCell ref="A10:F10"/>
    <mergeCell ref="A16:F19"/>
    <mergeCell ref="A1:F1"/>
    <mergeCell ref="A5:F6"/>
    <mergeCell ref="A8:F9"/>
    <mergeCell ref="A4:F4"/>
    <mergeCell ref="A20:F20"/>
    <mergeCell ref="A26:F27"/>
    <mergeCell ref="A15:F15"/>
    <mergeCell ref="A7:F7"/>
  </mergeCells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34" customHeight="1">
      <c r="A1" s="1" t="inlineStr">
        <is>
          <t>¿Conviene hacer cuartos para Tostado Club?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Caso base con café verde a $9.990 + IVA/kg  ·  Cambia supuestos en la hoja Parámetros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10" t="inlineStr">
        <is>
          <t>VEREDICTO (caso base)</t>
        </is>
      </c>
      <c r="B4" s="11" t="n"/>
      <c r="C4" s="11" t="n"/>
      <c r="E4" s="12" t="inlineStr">
        <is>
          <t>Cuartos producidos</t>
        </is>
      </c>
      <c r="F4" s="13" t="n"/>
      <c r="G4" s="12" t="inlineStr">
        <is>
          <t>Kg tostados</t>
        </is>
      </c>
      <c r="H4" s="13" t="n"/>
    </row>
    <row r="5" ht="28" customHeight="1">
      <c r="A5" s="14">
        <f>Factible</f>
        <v/>
      </c>
      <c r="E5" s="15">
        <f>Cuartos</f>
        <v/>
      </c>
      <c r="F5" s="7" t="n"/>
      <c r="G5" s="16">
        <f>KgTostado</f>
        <v/>
      </c>
      <c r="H5" s="7" t="n"/>
    </row>
    <row r="6" ht="28" customHeight="1">
      <c r="E6" s="7" t="n"/>
      <c r="F6" s="7" t="n"/>
      <c r="G6" s="7" t="n"/>
      <c r="H6" s="7" t="n"/>
    </row>
    <row r="7" ht="32" customHeight="1">
      <c r="A7" s="17">
        <f>IF(Factible="FACTIBLE","El margen neto supera el mínimo de "&amp;TEXT(MargenObjetivo,"0%")&amp;" definido en Parámetros.","El margen queda bajo el mínimo de "&amp;TEXT(MargenObjetivo,"0%")&amp;". Sube precio, baja verde/maquila o empaque.")</f>
        <v/>
      </c>
    </row>
    <row r="8">
      <c r="A8" s="12" t="inlineStr">
        <is>
          <t>Costo por cuarto (neto)</t>
        </is>
      </c>
      <c r="B8" s="13" t="n"/>
      <c r="C8" s="12" t="inlineStr">
        <is>
          <t>Venta por cuarto (neto)</t>
        </is>
      </c>
      <c r="D8" s="13" t="n"/>
      <c r="E8" s="12" t="inlineStr">
        <is>
          <t>Utilidad por cuarto</t>
        </is>
      </c>
      <c r="F8" s="13" t="n"/>
      <c r="G8" s="12" t="inlineStr">
        <is>
          <t>Margen neto</t>
        </is>
      </c>
      <c r="H8" s="13" t="n"/>
    </row>
    <row r="9" ht="22" customHeight="1">
      <c r="A9" s="18">
        <f>CostoCuarto</f>
        <v/>
      </c>
      <c r="B9" s="7" t="n"/>
      <c r="C9" s="19">
        <f>PrecioVentaCuarto</f>
        <v/>
      </c>
      <c r="D9" s="7" t="n"/>
      <c r="E9" s="18">
        <f>UtilidadCuarto</f>
        <v/>
      </c>
      <c r="F9" s="7" t="n"/>
      <c r="G9" s="20">
        <f>Margen</f>
        <v/>
      </c>
      <c r="H9" s="7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12" t="inlineStr">
        <is>
          <t>Inversión neta del lote</t>
        </is>
      </c>
      <c r="B11" s="13" t="n"/>
      <c r="C11" s="12" t="inlineStr">
        <is>
          <t>Caja a desembolsar (c/IVA)</t>
        </is>
      </c>
      <c r="D11" s="13" t="n"/>
      <c r="E11" s="12" t="inlineStr">
        <is>
          <t>Venta neta del lote</t>
        </is>
      </c>
      <c r="F11" s="13" t="n"/>
      <c r="G11" s="12" t="inlineStr">
        <is>
          <t>Utilidad neta del lote</t>
        </is>
      </c>
      <c r="H11" s="13" t="n"/>
    </row>
    <row r="12" ht="22" customHeight="1">
      <c r="A12" s="19">
        <f>CostoTotal</f>
        <v/>
      </c>
      <c r="B12" s="7" t="n"/>
      <c r="C12" s="19">
        <f>CajaSalida</f>
        <v/>
      </c>
      <c r="D12" s="7" t="n"/>
      <c r="E12" s="19">
        <f>VentaNeta</f>
        <v/>
      </c>
      <c r="F12" s="7" t="n"/>
      <c r="G12" s="19">
        <f>Utilidad</f>
        <v/>
      </c>
      <c r="H12" s="7" t="n"/>
    </row>
    <row r="13" ht="22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5" ht="20" customHeight="1">
      <c r="A15" s="5" t="inlineStr">
        <is>
          <t>Atajo: los 5 precios de café verde (detalle en hoja Escenarios)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10" t="inlineStr"/>
      <c r="B16" s="10" t="inlineStr">
        <is>
          <t>A  $9.000</t>
        </is>
      </c>
      <c r="C16" s="10" t="inlineStr">
        <is>
          <t>B  $9.500</t>
        </is>
      </c>
      <c r="D16" s="10" t="inlineStr">
        <is>
          <t>C  $9.990  base</t>
        </is>
      </c>
      <c r="E16" s="10" t="inlineStr">
        <is>
          <t>D  $10.000</t>
        </is>
      </c>
      <c r="F16" s="10" t="inlineStr">
        <is>
          <t>E  $10.500</t>
        </is>
      </c>
      <c r="G16" s="10" t="inlineStr"/>
      <c r="H16" s="21" t="n"/>
    </row>
    <row r="17">
      <c r="A17" s="22" t="inlineStr">
        <is>
          <t>Utilidad neta lote</t>
        </is>
      </c>
      <c r="B17" s="23">
        <f>Escenarios!C22</f>
        <v/>
      </c>
      <c r="C17" s="23">
        <f>Escenarios!D22</f>
        <v/>
      </c>
      <c r="D17" s="23">
        <f>Escenarios!E22</f>
        <v/>
      </c>
      <c r="E17" s="23">
        <f>Escenarios!F22</f>
        <v/>
      </c>
      <c r="F17" s="23">
        <f>Escenarios!G22</f>
        <v/>
      </c>
    </row>
    <row r="18">
      <c r="A18" s="22" t="inlineStr">
        <is>
          <t>Margen neto</t>
        </is>
      </c>
      <c r="B18" s="24">
        <f>Escenarios!C23</f>
        <v/>
      </c>
      <c r="C18" s="24">
        <f>Escenarios!D23</f>
        <v/>
      </c>
      <c r="D18" s="24">
        <f>Escenarios!E23</f>
        <v/>
      </c>
      <c r="E18" s="24">
        <f>Escenarios!F23</f>
        <v/>
      </c>
      <c r="F18" s="24">
        <f>Escenarios!G23</f>
        <v/>
      </c>
    </row>
    <row r="19">
      <c r="A19" s="22" t="inlineStr">
        <is>
          <t>¿Factible?</t>
        </is>
      </c>
      <c r="B19" s="25">
        <f>Escenarios!C25</f>
        <v/>
      </c>
      <c r="C19" s="25">
        <f>Escenarios!D25</f>
        <v/>
      </c>
      <c r="D19" s="25">
        <f>Escenarios!E25</f>
        <v/>
      </c>
      <c r="E19" s="25">
        <f>Escenarios!F25</f>
        <v/>
      </c>
      <c r="F19" s="25">
        <f>Escenarios!G25</f>
        <v/>
      </c>
    </row>
    <row r="20">
      <c r="A20" s="22" t="inlineStr">
        <is>
          <t>Costo por cuarto</t>
        </is>
      </c>
      <c r="B20" s="26">
        <f>Escenarios!C18</f>
        <v/>
      </c>
      <c r="C20" s="26">
        <f>Escenarios!D18</f>
        <v/>
      </c>
      <c r="D20" s="26">
        <f>Escenarios!E18</f>
        <v/>
      </c>
      <c r="E20" s="26">
        <f>Escenarios!F18</f>
        <v/>
      </c>
      <c r="F20" s="26">
        <f>Escenarios!G18</f>
        <v/>
      </c>
    </row>
    <row r="22" ht="20" customHeight="1">
      <c r="A22" s="5" t="inlineStr">
        <is>
          <t>Umbrales del caso base (con los supuestos actuales)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22" t="inlineStr">
        <is>
          <t>Precio verde máximo para no perder (utilidad = 0)</t>
        </is>
      </c>
      <c r="B23" s="7" t="n"/>
      <c r="C23" s="7" t="n"/>
      <c r="D23" s="7" t="n"/>
      <c r="E23" s="27">
        <f>PrecioVerdeMaxCero</f>
        <v/>
      </c>
      <c r="F23" s="28" t="n"/>
      <c r="G23" s="29" t="inlineStr">
        <is>
          <t>$/kg neto</t>
        </is>
      </c>
      <c r="H23" s="30" t="n"/>
    </row>
    <row r="24">
      <c r="A24" s="22" t="inlineStr">
        <is>
          <t>Precio verde máximo para cumplir margen objetivo</t>
        </is>
      </c>
      <c r="B24" s="7" t="n"/>
      <c r="C24" s="7" t="n"/>
      <c r="D24" s="7" t="n"/>
      <c r="E24" s="27">
        <f>PrecioVerdeMaxObj</f>
        <v/>
      </c>
      <c r="F24" s="28" t="n"/>
      <c r="G24" s="29" t="inlineStr">
        <is>
          <t>$/kg neto</t>
        </is>
      </c>
      <c r="H24" s="30" t="n"/>
    </row>
    <row r="25">
      <c r="A25" s="22" t="inlineStr">
        <is>
          <t>Precio mínimo de venta por cuarto para no perder</t>
        </is>
      </c>
      <c r="B25" s="7" t="n"/>
      <c r="C25" s="7" t="n"/>
      <c r="D25" s="7" t="n"/>
      <c r="E25" s="31">
        <f>VentaMinCuarto</f>
        <v/>
      </c>
      <c r="F25" s="28" t="n"/>
      <c r="G25" s="29" t="inlineStr">
        <is>
          <t>$/un neto</t>
        </is>
      </c>
      <c r="H25" s="30" t="n"/>
    </row>
    <row r="26">
      <c r="A26" s="22" t="inlineStr">
        <is>
          <t>Precio mínimo de venta por cuarto para margen objetivo</t>
        </is>
      </c>
      <c r="B26" s="7" t="n"/>
      <c r="C26" s="7" t="n"/>
      <c r="D26" s="7" t="n"/>
      <c r="E26" s="31">
        <f>VentaMinObj</f>
        <v/>
      </c>
      <c r="F26" s="28" t="n"/>
      <c r="G26" s="29" t="inlineStr">
        <is>
          <t>$/un neto</t>
        </is>
      </c>
      <c r="H26" s="30" t="n"/>
    </row>
    <row r="27">
      <c r="A27" s="22" t="inlineStr">
        <is>
          <t>IVA a pagar (débito − crédito) si se vende todo el lote</t>
        </is>
      </c>
      <c r="B27" s="7" t="n"/>
      <c r="C27" s="7" t="n"/>
      <c r="D27" s="7" t="n"/>
      <c r="E27" s="27">
        <f>IvaPagar</f>
        <v/>
      </c>
      <c r="F27" s="28" t="n"/>
      <c r="G27" s="29" t="inlineStr">
        <is>
          <t>$</t>
        </is>
      </c>
      <c r="H27" s="30" t="n"/>
    </row>
    <row r="28">
      <c r="A28" s="22" t="inlineStr">
        <is>
          <t>Flujo de caja del ciclo (cobro − pago, con IVA)</t>
        </is>
      </c>
      <c r="B28" s="7" t="n"/>
      <c r="C28" s="7" t="n"/>
      <c r="D28" s="7" t="n"/>
      <c r="E28" s="27">
        <f>FlujoCaja</f>
        <v/>
      </c>
      <c r="F28" s="28" t="n"/>
      <c r="G28" s="29" t="inlineStr">
        <is>
          <t>$</t>
        </is>
      </c>
      <c r="H28" s="30" t="n"/>
    </row>
    <row r="29">
      <c r="A29" s="22" t="inlineStr">
        <is>
          <t>Sobrante de café tostado no empaquetable en cuartos</t>
        </is>
      </c>
      <c r="B29" s="7" t="n"/>
      <c r="C29" s="7" t="n"/>
      <c r="D29" s="7" t="n"/>
      <c r="E29" s="32">
        <f>SobranteG</f>
        <v/>
      </c>
      <c r="F29" s="28" t="n"/>
      <c r="G29" s="29" t="inlineStr">
        <is>
          <t>g</t>
        </is>
      </c>
      <c r="H29" s="30" t="n"/>
    </row>
    <row r="31" ht="20" customHeight="1">
      <c r="A31" s="5" t="inlineStr">
        <is>
          <t>Lectura comercial (contexto)</t>
        </is>
      </c>
      <c r="B31" s="4" t="n"/>
      <c r="C31" s="4" t="n"/>
      <c r="D31" s="4" t="n"/>
      <c r="E31" s="4" t="n"/>
      <c r="F31" s="4" t="n"/>
      <c r="G31" s="4" t="n"/>
      <c r="H31" s="4" t="n"/>
    </row>
    <row r="32" ht="22" customHeight="1">
      <c r="A32" s="33" t="inlineStr">
        <is>
          <t>Tostado Club vende al público la suscripción de 500 g (2 cuartos) a $23.990 IVA incl., es decir ~$11.995 IVA incl. por cuarto (~$10.080 neto). Si te pagan $6.000 + IVA por cuarto, el cliente se queda con un markup retail típico de club/suscripción y tú con el margen industrial. Esta planilla NO incluye flete ni mano de obra de empaque salvo que los completes en Parámetros. Asume que se vende el 100% de los cuartos del lote. Bolsas y etiquetas son SUPUESTOS: cámbialos apenas tengas cotización real. La merma de tostado mueve mucho el costo por cuarto: mídela en tu primer lote.</t>
        </is>
      </c>
      <c r="B32" s="7" t="n"/>
      <c r="C32" s="7" t="n"/>
      <c r="D32" s="7" t="n"/>
      <c r="E32" s="7" t="n"/>
      <c r="F32" s="7" t="n"/>
      <c r="G32" s="7" t="n"/>
      <c r="H32" s="7" t="n"/>
    </row>
    <row r="33" ht="22" customHeight="1">
      <c r="A33" s="7" t="n"/>
      <c r="B33" s="7" t="n"/>
      <c r="C33" s="7" t="n"/>
      <c r="D33" s="7" t="n"/>
      <c r="E33" s="7" t="n"/>
      <c r="F33" s="7" t="n"/>
      <c r="G33" s="7" t="n"/>
      <c r="H33" s="7" t="n"/>
    </row>
    <row r="34" ht="22" customHeight="1">
      <c r="A34" s="7" t="n"/>
      <c r="B34" s="7" t="n"/>
      <c r="C34" s="7" t="n"/>
      <c r="D34" s="7" t="n"/>
      <c r="E34" s="7" t="n"/>
      <c r="F34" s="7" t="n"/>
      <c r="G34" s="7" t="n"/>
      <c r="H34" s="7" t="n"/>
    </row>
    <row r="36">
      <c r="A36" s="17" t="inlineStr">
        <is>
          <t>Coffee Roasting Labs  ·  RUT 77.586.349-8  ·  Planilla de trabajo interno  ·  Edita solo celdas amarillas en Parámetros</t>
        </is>
      </c>
    </row>
  </sheetData>
  <mergeCells count="56">
    <mergeCell ref="A12:B13"/>
    <mergeCell ref="A23:D23"/>
    <mergeCell ref="C12:D13"/>
    <mergeCell ref="A15:H15"/>
    <mergeCell ref="E24:F24"/>
    <mergeCell ref="A11:B11"/>
    <mergeCell ref="G11:H11"/>
    <mergeCell ref="G27:H27"/>
    <mergeCell ref="A29:D29"/>
    <mergeCell ref="E23:F23"/>
    <mergeCell ref="G5:H6"/>
    <mergeCell ref="A36:H36"/>
    <mergeCell ref="G23:H23"/>
    <mergeCell ref="A1:H1"/>
    <mergeCell ref="G8:H8"/>
    <mergeCell ref="A28:D28"/>
    <mergeCell ref="E8:F8"/>
    <mergeCell ref="G17:H17"/>
    <mergeCell ref="E4:F4"/>
    <mergeCell ref="E29:F29"/>
    <mergeCell ref="G19:H19"/>
    <mergeCell ref="E28:F28"/>
    <mergeCell ref="G28:H28"/>
    <mergeCell ref="A24:D24"/>
    <mergeCell ref="A4:C4"/>
    <mergeCell ref="G18:H18"/>
    <mergeCell ref="A9:B10"/>
    <mergeCell ref="G9:H10"/>
    <mergeCell ref="E12:F13"/>
    <mergeCell ref="G12:H13"/>
    <mergeCell ref="G24:H24"/>
    <mergeCell ref="C11:D11"/>
    <mergeCell ref="A2:H2"/>
    <mergeCell ref="E11:F11"/>
    <mergeCell ref="E27:F27"/>
    <mergeCell ref="A25:D25"/>
    <mergeCell ref="E5:F6"/>
    <mergeCell ref="E26:F26"/>
    <mergeCell ref="A8:B8"/>
    <mergeCell ref="G26:H26"/>
    <mergeCell ref="C8:D8"/>
    <mergeCell ref="A22:H22"/>
    <mergeCell ref="G29:H29"/>
    <mergeCell ref="G4:H4"/>
    <mergeCell ref="G20:H20"/>
    <mergeCell ref="A27:D27"/>
    <mergeCell ref="G16:H16"/>
    <mergeCell ref="E25:F25"/>
    <mergeCell ref="A5:C6"/>
    <mergeCell ref="G25:H25"/>
    <mergeCell ref="A26:D26"/>
    <mergeCell ref="A32:H34"/>
    <mergeCell ref="A7:C7"/>
    <mergeCell ref="C9:D10"/>
    <mergeCell ref="A31:H31"/>
    <mergeCell ref="E9:F10"/>
  </mergeCells>
  <conditionalFormatting sqref="A5:C6">
    <cfRule type="expression" priority="1" dxfId="0">
      <formula>Factible="FACTIBLE"</formula>
    </cfRule>
    <cfRule type="expression" priority="2" dxfId="1">
      <formula>Factible="REVISAR"</formula>
    </cfRule>
  </conditionalFormatting>
  <conditionalFormatting sqref="B18:F18">
    <cfRule type="colorScale" priority="3">
      <colorScale>
        <cfvo type="min"/>
        <cfvo type="percentile" val="50"/>
        <cfvo type="max"/>
        <color rgb="00F8D7DA"/>
        <color rgb="00FFF3CD"/>
        <color rgb="00D8F3E2"/>
      </colorScale>
    </cfRule>
  </conditionalFormatting>
  <conditionalFormatting sqref="B19:F19">
    <cfRule type="expression" priority="4" dxfId="2">
      <formula>B19="SÍ"</formula>
    </cfRule>
    <cfRule type="expression" priority="5" dxfId="3">
      <formula>B19="NO"</formula>
    </cfRule>
  </conditionalFormatting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62" customWidth="1" min="4" max="4"/>
    <col width="18" customWidth="1" min="5" max="5"/>
    <col width="18" customWidth="1" min="6" max="6"/>
  </cols>
  <sheetData>
    <row r="1" ht="32" customHeight="1">
      <c r="A1" s="1" t="inlineStr">
        <is>
          <t>COFFEE ROASTING LABS  ·  Tostaduría Erik Berwart Araya EIRL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Factibilidad de cuartos (250 g) para Tostado Club  ·  Lote de 1 tonelada de café verde</t>
        </is>
      </c>
      <c r="B2" s="4" t="n"/>
      <c r="C2" s="4" t="n"/>
      <c r="D2" s="4" t="n"/>
      <c r="E2" s="4" t="n"/>
      <c r="F2" s="4" t="n"/>
    </row>
    <row r="3" ht="28" customHeight="1">
      <c r="A3" s="34" t="inlineStr">
        <is>
          <t>Celdas amarillas = se editan. El resto de la planilla se recalcula solo. Todos los precios se ingresan NETOS (sin IVA). El IVA se aplica después.</t>
        </is>
      </c>
      <c r="B3" s="35" t="n"/>
      <c r="C3" s="35" t="n"/>
      <c r="D3" s="35" t="n"/>
      <c r="E3" s="35" t="n"/>
      <c r="F3" s="35" t="n"/>
    </row>
    <row r="4">
      <c r="A4" s="10" t="inlineStr">
        <is>
          <t>Concepto</t>
        </is>
      </c>
      <c r="B4" s="10" t="inlineStr">
        <is>
          <t>Valor (editar)</t>
        </is>
      </c>
      <c r="C4" s="10" t="inlineStr">
        <is>
          <t>Unidad</t>
        </is>
      </c>
      <c r="D4" s="10" t="inlineStr">
        <is>
          <t>Notas / fuente del supuesto</t>
        </is>
      </c>
      <c r="E4" s="10" t="inlineStr"/>
      <c r="F4" s="10" t="inlineStr"/>
    </row>
    <row r="5" ht="20" customHeight="1">
      <c r="A5" s="5" t="inlineStr">
        <is>
          <t>1. Volumen y proceso</t>
        </is>
      </c>
      <c r="B5" s="4" t="n"/>
      <c r="C5" s="4" t="n"/>
      <c r="D5" s="4" t="n"/>
      <c r="E5" s="4" t="n"/>
      <c r="F5" s="4" t="n"/>
    </row>
    <row r="6" ht="32" customHeight="1">
      <c r="A6" s="22" t="inlineStr">
        <is>
          <t>Kg café verde a comprar</t>
        </is>
      </c>
      <c r="B6" s="36" t="n">
        <v>1000</v>
      </c>
      <c r="C6" s="37" t="inlineStr">
        <is>
          <t>kg</t>
        </is>
      </c>
      <c r="D6" s="38" t="inlineStr">
        <is>
          <t>Lote pedido: 1 tonelada. Cambia este número si el pedido es otro.</t>
        </is>
      </c>
    </row>
    <row r="7" ht="32" customHeight="1">
      <c r="A7" s="22" t="inlineStr">
        <is>
          <t>Merma de tostado</t>
        </is>
      </c>
      <c r="B7" s="39" t="n">
        <v>0.18</v>
      </c>
      <c r="C7" s="37" t="inlineStr">
        <is>
          <t>%</t>
        </is>
      </c>
      <c r="D7" s="38" t="inlineStr">
        <is>
          <t>Pérdida de peso al tostar (humedad + cascarilla). Tueste medio ≈ 16–18%; oscuro ≈ 18–20%. De 1 kg verde quedan ~820 g tostados con 18%.</t>
        </is>
      </c>
    </row>
    <row r="8" ht="32" customHeight="1">
      <c r="A8" s="22" t="inlineStr">
        <is>
          <t>Peso del cuarto</t>
        </is>
      </c>
      <c r="B8" s="36" t="n">
        <v>250</v>
      </c>
      <c r="C8" s="37" t="inlineStr">
        <is>
          <t>g</t>
        </is>
      </c>
      <c r="D8" s="38" t="inlineStr">
        <is>
          <t>Bolsa de 250 g de café TOSTADO (no verde).</t>
        </is>
      </c>
    </row>
    <row r="9" ht="32" customHeight="1">
      <c r="A9" s="22" t="inlineStr">
        <is>
          <t>Merma de empaque extra</t>
        </is>
      </c>
      <c r="B9" s="39" t="n">
        <v>0.02</v>
      </c>
      <c r="C9" s="37" t="inlineStr">
        <is>
          <t>%</t>
        </is>
      </c>
      <c r="D9" s="38" t="inlineStr">
        <is>
          <t>Bolsas/etiquetas de más por rotura, prueba o error. 0% si compras exacto.</t>
        </is>
      </c>
    </row>
    <row r="10" ht="20" customHeight="1">
      <c r="A10" s="5" t="inlineStr">
        <is>
          <t>2. Precios (ingresar NETOS, sin IVA)</t>
        </is>
      </c>
      <c r="B10" s="4" t="n"/>
      <c r="C10" s="4" t="n"/>
      <c r="D10" s="4" t="n"/>
      <c r="E10" s="4" t="n"/>
      <c r="F10" s="4" t="n"/>
    </row>
    <row r="11" ht="36" customHeight="1">
      <c r="A11" s="22" t="inlineStr">
        <is>
          <t>IVA</t>
        </is>
      </c>
      <c r="B11" s="39" t="n">
        <v>0.19</v>
      </c>
      <c r="C11" s="37" t="inlineStr">
        <is>
          <t>%</t>
        </is>
      </c>
      <c r="D11" s="38" t="inlineStr">
        <is>
          <t>IVA Chile vigente. Afecta caja (crédito/débito), no el margen neto.</t>
        </is>
      </c>
    </row>
    <row r="12" ht="36" customHeight="1">
      <c r="A12" s="22" t="inlineStr">
        <is>
          <t>Precio café verde (caso base)</t>
        </is>
      </c>
      <c r="B12" s="40" t="n">
        <v>9990</v>
      </c>
      <c r="C12" s="37" t="inlineStr">
        <is>
          <t>$/kg neto</t>
        </is>
      </c>
      <c r="D12" s="38" t="inlineStr">
        <is>
          <t>Dato del negocio: $9.990 + IVA / kg. Los escenarios de abajo se comparan contra este.</t>
        </is>
      </c>
    </row>
    <row r="13" ht="36" customHeight="1">
      <c r="A13" s="22" t="inlineStr">
        <is>
          <t>Maquila (tostado)</t>
        </is>
      </c>
      <c r="B13" s="40" t="n">
        <v>1500</v>
      </c>
      <c r="C13" s="37" t="inlineStr">
        <is>
          <t>$/kg neto</t>
        </is>
      </c>
      <c r="D13" s="38" t="inlineStr">
        <is>
          <t>Servicio de tostado: $1.500 + IVA / kg. Ver celda siguiente: ¿se cobra sobre verde o tostado?</t>
        </is>
      </c>
    </row>
    <row r="14" ht="36" customHeight="1">
      <c r="A14" s="22" t="inlineStr">
        <is>
          <t>Maquila se cobra sobre</t>
        </is>
      </c>
      <c r="B14" s="41" t="inlineStr">
        <is>
          <t>Verde</t>
        </is>
      </c>
      <c r="C14" s="37" t="inlineStr"/>
      <c r="D14" s="38" t="inlineStr">
        <is>
          <t>Verde = se multiplica por los kg comprados. Tostado = se multiplica por los kg que salen del tostador.</t>
        </is>
      </c>
    </row>
    <row r="15" ht="36" customHeight="1">
      <c r="A15" s="22" t="inlineStr">
        <is>
          <t>Bolsa 250 g (válvula / doypack)</t>
        </is>
      </c>
      <c r="B15" s="40" t="n">
        <v>300</v>
      </c>
      <c r="C15" s="37" t="inlineStr">
        <is>
          <t>$/un neto</t>
        </is>
      </c>
      <c r="D15" s="38" t="inlineStr">
        <is>
          <t>Supuesto editable. Referencias Chile 2026: Funsmart ≈ $286 neto/un (pack 50); Nuestro Café ≈ $600; Cafestore ≈ $700. A granel puede bajar. Pon 0 si las pone Tostado Club.</t>
        </is>
      </c>
    </row>
    <row r="16" ht="36" customHeight="1">
      <c r="A16" s="22" t="inlineStr">
        <is>
          <t>Etiqueta adhesiva</t>
        </is>
      </c>
      <c r="B16" s="40" t="n">
        <v>80</v>
      </c>
      <c r="C16" s="37" t="inlineStr">
        <is>
          <t>$/un neto</t>
        </is>
      </c>
      <c r="D16" s="38" t="inlineStr">
        <is>
          <t>Supuesto editable. Referencia imprenta ~$65–$160 + IVA c/u en tirajes de 3.000–4.000. Pon 0 si las pone el cliente.</t>
        </is>
      </c>
    </row>
    <row r="17" ht="36" customHeight="1">
      <c r="A17" s="22" t="inlineStr">
        <is>
          <t>Precio de venta al cliente (cuarto)</t>
        </is>
      </c>
      <c r="B17" s="40" t="n">
        <v>6000</v>
      </c>
      <c r="C17" s="37" t="inlineStr">
        <is>
          <t>$/un neto</t>
        </is>
      </c>
      <c r="D17" s="38" t="inlineStr">
        <is>
          <t>Lo que paga Tostado Club: $6.000 + IVA por bolsa de 250 g.</t>
        </is>
      </c>
    </row>
    <row r="18" ht="20" customHeight="1">
      <c r="A18" s="5" t="inlineStr">
        <is>
          <t>3. Costos opcionales del lote (neto) — déjalos en 0 si no aplican</t>
        </is>
      </c>
      <c r="B18" s="4" t="n"/>
      <c r="C18" s="4" t="n"/>
      <c r="D18" s="4" t="n"/>
      <c r="E18" s="4" t="n"/>
      <c r="F18" s="4" t="n"/>
    </row>
    <row r="19" ht="30" customHeight="1">
      <c r="A19" s="22" t="inlineStr">
        <is>
          <t>Flete / logística del lote</t>
        </is>
      </c>
      <c r="B19" s="40" t="n">
        <v>0</v>
      </c>
      <c r="C19" s="37" t="inlineStr">
        <is>
          <t>$ lote neto</t>
        </is>
      </c>
      <c r="D19" s="38" t="inlineStr">
        <is>
          <t>Traslado del verde, del tostado o entrega a Tostado Club. Completar cuando tengas cotización.</t>
        </is>
      </c>
    </row>
    <row r="20" ht="30" customHeight="1">
      <c r="A20" s="22" t="inlineStr">
        <is>
          <t>Mano de obra de empaque</t>
        </is>
      </c>
      <c r="B20" s="40" t="n">
        <v>0</v>
      </c>
      <c r="C20" s="37" t="inlineStr">
        <is>
          <t>$/cuarto neto</t>
        </is>
      </c>
      <c r="D20" s="38" t="inlineStr">
        <is>
          <t>Si empacas tú: costo de personal por bolsa. 0 si está cubierto o no lo quieres costear aún.</t>
        </is>
      </c>
    </row>
    <row r="21" ht="30" customHeight="1">
      <c r="A21" s="22" t="inlineStr">
        <is>
          <t>Otros costos del lote</t>
        </is>
      </c>
      <c r="B21" s="40" t="n">
        <v>0</v>
      </c>
      <c r="C21" s="37" t="inlineStr">
        <is>
          <t>$ lote neto</t>
        </is>
      </c>
      <c r="D21" s="38" t="inlineStr">
        <is>
          <t>Cinta, cajas master, molienda extra, control de calidad, merma de calidad, etc.</t>
        </is>
      </c>
    </row>
    <row r="22" ht="20" customHeight="1">
      <c r="A22" s="5" t="inlineStr">
        <is>
          <t>4. Escenarios de precio del café verde (neto, $/kg) — hoja Escenarios</t>
        </is>
      </c>
      <c r="B22" s="4" t="n"/>
      <c r="C22" s="4" t="n"/>
      <c r="D22" s="4" t="n"/>
      <c r="E22" s="4" t="n"/>
      <c r="F22" s="4" t="n"/>
    </row>
    <row r="23">
      <c r="A23" s="22" t="inlineStr">
        <is>
          <t>Escenario A</t>
        </is>
      </c>
      <c r="B23" s="40" t="n">
        <v>9000</v>
      </c>
      <c r="C23" s="37" t="inlineStr">
        <is>
          <t>$/kg neto</t>
        </is>
      </c>
      <c r="D23" s="38" t="inlineStr">
        <is>
          <t>Pedido: ver qué pasa a $9.000 + IVA</t>
        </is>
      </c>
    </row>
    <row r="24">
      <c r="A24" s="22" t="inlineStr">
        <is>
          <t>Escenario B</t>
        </is>
      </c>
      <c r="B24" s="40" t="n">
        <v>9500</v>
      </c>
      <c r="C24" s="37" t="inlineStr">
        <is>
          <t>$/kg neto</t>
        </is>
      </c>
      <c r="D24" s="38" t="inlineStr">
        <is>
          <t>Pedido: ver qué pasa a $9.500 + IVA</t>
        </is>
      </c>
    </row>
    <row r="25">
      <c r="A25" s="22" t="inlineStr">
        <is>
          <t>Escenario C (base)</t>
        </is>
      </c>
      <c r="B25" s="40" t="n">
        <v>9990</v>
      </c>
      <c r="C25" s="37" t="inlineStr">
        <is>
          <t>$/kg neto</t>
        </is>
      </c>
      <c r="D25" s="38" t="inlineStr">
        <is>
          <t>Precio actual cotizado: $9.990 + IVA</t>
        </is>
      </c>
    </row>
    <row r="26">
      <c r="A26" s="22" t="inlineStr">
        <is>
          <t>Escenario D</t>
        </is>
      </c>
      <c r="B26" s="40" t="n">
        <v>10000</v>
      </c>
      <c r="C26" s="37" t="inlineStr">
        <is>
          <t>$/kg neto</t>
        </is>
      </c>
      <c r="D26" s="38" t="inlineStr">
        <is>
          <t>Pedido: ver qué pasa a $10.000 + IVA</t>
        </is>
      </c>
    </row>
    <row r="27">
      <c r="A27" s="22" t="inlineStr">
        <is>
          <t>Escenario E</t>
        </is>
      </c>
      <c r="B27" s="40" t="n">
        <v>10500</v>
      </c>
      <c r="C27" s="37" t="inlineStr">
        <is>
          <t>$/kg neto</t>
        </is>
      </c>
      <c r="D27" s="38" t="inlineStr">
        <is>
          <t>Pedido: ver qué pasa a $10.500 + IVA</t>
        </is>
      </c>
    </row>
    <row r="28" ht="20" customHeight="1">
      <c r="A28" s="5" t="inlineStr">
        <is>
          <t>5. Criterio de factibilidad</t>
        </is>
      </c>
      <c r="B28" s="4" t="n"/>
      <c r="C28" s="4" t="n"/>
      <c r="D28" s="4" t="n"/>
      <c r="E28" s="4" t="n"/>
      <c r="F28" s="4" t="n"/>
    </row>
    <row r="29">
      <c r="A29" s="22" t="inlineStr">
        <is>
          <t>Margen neto mínimo aceptable</t>
        </is>
      </c>
      <c r="B29" s="39" t="n">
        <v>0.25</v>
      </c>
      <c r="C29" s="37" t="inlineStr">
        <is>
          <t>%</t>
        </is>
      </c>
      <c r="D29" s="38" t="inlineStr">
        <is>
          <t>Si el margen del lote queda bajo este %, el Resumen marca NO FACTIBLE. Ajústalo a tu criterio.</t>
        </is>
      </c>
    </row>
  </sheetData>
  <mergeCells count="28">
    <mergeCell ref="D11:F11"/>
    <mergeCell ref="D13:F13"/>
    <mergeCell ref="D27:F27"/>
    <mergeCell ref="D17:F17"/>
    <mergeCell ref="A18:F18"/>
    <mergeCell ref="D7:F7"/>
    <mergeCell ref="A3:F3"/>
    <mergeCell ref="D16:F16"/>
    <mergeCell ref="A2:F2"/>
    <mergeCell ref="A5:F5"/>
    <mergeCell ref="D12:F12"/>
    <mergeCell ref="D9:F9"/>
    <mergeCell ref="A22:F22"/>
    <mergeCell ref="D8:F8"/>
    <mergeCell ref="D25:F25"/>
    <mergeCell ref="D15:F15"/>
    <mergeCell ref="D24:F24"/>
    <mergeCell ref="A10:F10"/>
    <mergeCell ref="D14:F14"/>
    <mergeCell ref="A28:F28"/>
    <mergeCell ref="D29:F29"/>
    <mergeCell ref="D23:F23"/>
    <mergeCell ref="D26:F26"/>
    <mergeCell ref="D20:F20"/>
    <mergeCell ref="D19:F19"/>
    <mergeCell ref="A1:F1"/>
    <mergeCell ref="D21:F21"/>
    <mergeCell ref="D6:F6"/>
  </mergeCells>
  <dataValidations count="1">
    <dataValidation sqref="B14" showDropDown="0" showInputMessage="0" showErrorMessage="0" allowBlank="0" errorTitle="Valor no válido" error="Elige Verde o Tostado" prompt="Verde o Tostado" type="list">
      <formula1>"Verde,Tostado"</formula1>
    </dataValidation>
  </dataValidations>
  <pageMargins left="0.75" right="0.75" top="1" bottom="1" header="0.5" footer="0.5"/>
  <pageSetup orientation="landscape" paperSize="3" fitToHeight="1" fitToWidth="1"/>
  <headerFooter>
    <oddHeader>&amp;LCoffee Roasting Labs&amp;RConfidencial — Coffee Roasting Labs</oddHeader>
    <oddFooter>&amp;LFactibilidad cuartos Tostado Club&amp;RPágina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B3F2A"/>
    <outlinePr summaryBelow="1" summaryRight="1"/>
    <pageSetUpPr fitToPage="1"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32" customHeight="1">
      <c r="A1" s="1" t="inlineStr">
        <is>
          <t>Estado de resultados del lote  ·  caso base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Café verde al precio de Parámetros (hoy $9.990 + IVA/kg)  ·  cifras NETAS salvo donde se indica IVA</t>
        </is>
      </c>
      <c r="B2" s="4" t="n"/>
      <c r="C2" s="4" t="n"/>
      <c r="D2" s="4" t="n"/>
      <c r="E2" s="4" t="n"/>
      <c r="F2" s="4" t="n"/>
      <c r="G2" s="4" t="n"/>
    </row>
    <row r="4" ht="20" customHeight="1">
      <c r="A4" s="5" t="inlineStr">
        <is>
          <t>A. Conversión de 1 tonelada de café verde a cuartos</t>
        </is>
      </c>
      <c r="B4" s="4" t="n"/>
      <c r="C4" s="4" t="n"/>
      <c r="D4" s="4" t="n"/>
      <c r="E4" s="4" t="n"/>
      <c r="F4" s="4" t="n"/>
      <c r="G4" s="4" t="n"/>
    </row>
    <row r="5">
      <c r="A5" s="22" t="inlineStr">
        <is>
          <t>Café verde comprado</t>
        </is>
      </c>
      <c r="B5" s="42">
        <f>KgVerde</f>
        <v/>
      </c>
      <c r="C5" s="28" t="n"/>
      <c r="D5" s="43" t="inlineStr">
        <is>
          <t>kg</t>
        </is>
      </c>
      <c r="E5" s="30" t="n"/>
      <c r="F5" s="44" t="inlineStr">
        <is>
          <t>Pedido de 1.000 kg (1 tonelada)</t>
        </is>
      </c>
      <c r="G5" s="30" t="n"/>
    </row>
    <row r="6">
      <c r="A6" s="22" t="inlineStr">
        <is>
          <t>Rendimiento de tostado</t>
        </is>
      </c>
      <c r="B6" s="45">
        <f>Rendimiento</f>
        <v/>
      </c>
      <c r="C6" s="28" t="n"/>
      <c r="D6" s="43" t="inlineStr">
        <is>
          <t>%</t>
        </is>
      </c>
      <c r="E6" s="30" t="n"/>
      <c r="F6" s="44" t="inlineStr">
        <is>
          <t>1 − merma</t>
        </is>
      </c>
      <c r="G6" s="30" t="n"/>
    </row>
    <row r="7">
      <c r="A7" s="22" t="inlineStr">
        <is>
          <t>Café tostado obtenido</t>
        </is>
      </c>
      <c r="B7" s="32">
        <f>KgTostado</f>
        <v/>
      </c>
      <c r="C7" s="28" t="n"/>
      <c r="D7" s="43" t="inlineStr">
        <is>
          <t>kg</t>
        </is>
      </c>
      <c r="E7" s="30" t="n"/>
      <c r="F7" s="44" t="inlineStr">
        <is>
          <t>Verde × rendimiento</t>
        </is>
      </c>
      <c r="G7" s="30" t="n"/>
    </row>
    <row r="8">
      <c r="A8" s="22" t="inlineStr">
        <is>
          <t>Peso de cada cuarto</t>
        </is>
      </c>
      <c r="B8" s="42">
        <f>PesoCuartoG</f>
        <v/>
      </c>
      <c r="C8" s="28" t="n"/>
      <c r="D8" s="43" t="inlineStr">
        <is>
          <t>g</t>
        </is>
      </c>
      <c r="E8" s="30" t="n"/>
      <c r="F8" s="44" t="inlineStr">
        <is>
          <t>Café tostado empacado</t>
        </is>
      </c>
      <c r="G8" s="30" t="n"/>
    </row>
    <row r="9">
      <c r="A9" s="22" t="inlineStr">
        <is>
          <t>Cuartos enteros producidos</t>
        </is>
      </c>
      <c r="B9" s="42">
        <f>Cuartos</f>
        <v/>
      </c>
      <c r="C9" s="28" t="n"/>
      <c r="D9" s="43" t="inlineStr">
        <is>
          <t>un</t>
        </is>
      </c>
      <c r="E9" s="30" t="n"/>
      <c r="F9" s="44" t="inlineStr">
        <is>
          <t>Se redondea hacia abajo: no se vende fracción</t>
        </is>
      </c>
      <c r="G9" s="30" t="n"/>
    </row>
    <row r="10">
      <c r="A10" s="22" t="inlineStr">
        <is>
          <t>Sobrante tostado</t>
        </is>
      </c>
      <c r="B10" s="32">
        <f>SobranteG</f>
        <v/>
      </c>
      <c r="C10" s="28" t="n"/>
      <c r="D10" s="43" t="inlineStr">
        <is>
          <t>g</t>
        </is>
      </c>
      <c r="E10" s="30" t="n"/>
      <c r="F10" s="44" t="inlineStr">
        <is>
          <t>Queda para muestra, merma o reempaque</t>
        </is>
      </c>
      <c r="G10" s="30" t="n"/>
    </row>
    <row r="11">
      <c r="A11" s="22" t="inlineStr">
        <is>
          <t>Cuartos por kg de verde</t>
        </is>
      </c>
      <c r="B11" s="46">
        <f>CuartosPorKgVerde</f>
        <v/>
      </c>
      <c r="C11" s="28" t="n"/>
      <c r="D11" s="43" t="inlineStr">
        <is>
          <t>un/kg</t>
        </is>
      </c>
      <c r="E11" s="30" t="n"/>
      <c r="F11" s="44" t="inlineStr">
        <is>
          <t>Con 18% merma ≈ 3,28 cuartos / kg verde</t>
        </is>
      </c>
      <c r="G11" s="30" t="n"/>
    </row>
    <row r="12">
      <c r="A12" s="22" t="inlineStr">
        <is>
          <t>Bolsas y etiquetas a comprar</t>
        </is>
      </c>
      <c r="B12" s="42">
        <f>Bolsas</f>
        <v/>
      </c>
      <c r="C12" s="28" t="n"/>
      <c r="D12" s="43" t="inlineStr">
        <is>
          <t>un</t>
        </is>
      </c>
      <c r="E12" s="30" t="n"/>
      <c r="F12" s="44" t="inlineStr">
        <is>
          <t>Cuartos + merma de empaque</t>
        </is>
      </c>
      <c r="G12" s="30" t="n"/>
    </row>
    <row r="13">
      <c r="A13" s="22" t="inlineStr">
        <is>
          <t>Kg sobre los que se cobra maquila</t>
        </is>
      </c>
      <c r="B13" s="32">
        <f>KgMaquila</f>
        <v/>
      </c>
      <c r="C13" s="28" t="n"/>
      <c r="D13" s="43" t="inlineStr">
        <is>
          <t>kg</t>
        </is>
      </c>
      <c r="E13" s="30" t="n"/>
      <c r="F13" s="44" t="inlineStr">
        <is>
          <t>Verde o tostado, según Parámetros</t>
        </is>
      </c>
      <c r="G13" s="30" t="n"/>
    </row>
    <row r="15" ht="20" customHeight="1">
      <c r="A15" s="5" t="inlineStr">
        <is>
          <t>B. Costos del lote (NETOS, sin IVA)</t>
        </is>
      </c>
      <c r="B15" s="4" t="n"/>
      <c r="C15" s="4" t="n"/>
      <c r="D15" s="4" t="n"/>
      <c r="E15" s="4" t="n"/>
      <c r="F15" s="4" t="n"/>
      <c r="G15" s="4" t="n"/>
    </row>
    <row r="16">
      <c r="A16" s="10" t="inlineStr">
        <is>
          <t>Ítem</t>
        </is>
      </c>
      <c r="B16" s="10" t="inlineStr">
        <is>
          <t>Base de cálculo</t>
        </is>
      </c>
      <c r="C16" s="10" t="inlineStr">
        <is>
          <t>Precio unit. neto</t>
        </is>
      </c>
      <c r="D16" s="10" t="inlineStr">
        <is>
          <t>Costo neto lote</t>
        </is>
      </c>
      <c r="E16" s="10" t="inlineStr">
        <is>
          <t>% del costo</t>
        </is>
      </c>
      <c r="F16" s="10" t="inlineStr">
        <is>
          <t>Costo por cuarto</t>
        </is>
      </c>
      <c r="G16" s="10" t="inlineStr">
        <is>
          <t>Costo c/IVA lote</t>
        </is>
      </c>
    </row>
    <row r="17">
      <c r="A17" s="47" t="inlineStr">
        <is>
          <t>Café verde</t>
        </is>
      </c>
      <c r="B17" s="48">
        <f>TEXT(KgVerde,"#,##0")&amp;" kg"</f>
        <v/>
      </c>
      <c r="C17" s="23">
        <f>PrecioVerdeBase</f>
        <v/>
      </c>
      <c r="D17" s="23">
        <f>CostoVerde</f>
        <v/>
      </c>
      <c r="E17" s="24">
        <f>IF(CostoTotal=0,0,D17/CostoTotal)</f>
        <v/>
      </c>
      <c r="F17" s="26">
        <f>CostoVerdeCuarto</f>
        <v/>
      </c>
      <c r="G17" s="23">
        <f>D17*(1+IVA)</f>
        <v/>
      </c>
    </row>
    <row r="18">
      <c r="A18" s="22" t="inlineStr">
        <is>
          <t>Maquila (tostado)</t>
        </is>
      </c>
      <c r="B18" s="49">
        <f>TEXT(KgMaquila,"#,##0.0")&amp;" kg"</f>
        <v/>
      </c>
      <c r="C18" s="50">
        <f>MaquilaKg</f>
        <v/>
      </c>
      <c r="D18" s="50">
        <f>CostoMaquila</f>
        <v/>
      </c>
      <c r="E18" s="51">
        <f>IF(CostoTotal=0,0,D18/CostoTotal)</f>
        <v/>
      </c>
      <c r="F18" s="52">
        <f>CostoMaquilaCuarto</f>
        <v/>
      </c>
      <c r="G18" s="50">
        <f>D18*(1+IVA)</f>
        <v/>
      </c>
    </row>
    <row r="19">
      <c r="A19" s="47" t="inlineStr">
        <is>
          <t>Bolsas</t>
        </is>
      </c>
      <c r="B19" s="48">
        <f>TEXT(Bolsas,"#,##0")&amp;" un"</f>
        <v/>
      </c>
      <c r="C19" s="23">
        <f>PrecioBolsa</f>
        <v/>
      </c>
      <c r="D19" s="23">
        <f>CostoBolsas</f>
        <v/>
      </c>
      <c r="E19" s="24">
        <f>IF(CostoTotal=0,0,D19/CostoTotal)</f>
        <v/>
      </c>
      <c r="F19" s="26">
        <f>CostoBolsaCuarto</f>
        <v/>
      </c>
      <c r="G19" s="23">
        <f>D19*(1+IVA)</f>
        <v/>
      </c>
    </row>
    <row r="20">
      <c r="A20" s="22" t="inlineStr">
        <is>
          <t>Etiquetas</t>
        </is>
      </c>
      <c r="B20" s="49">
        <f>TEXT(Bolsas,"#,##0")&amp;" un"</f>
        <v/>
      </c>
      <c r="C20" s="50">
        <f>PrecioEtiqueta</f>
        <v/>
      </c>
      <c r="D20" s="50">
        <f>CostoEtiquetas</f>
        <v/>
      </c>
      <c r="E20" s="51">
        <f>IF(CostoTotal=0,0,D20/CostoTotal)</f>
        <v/>
      </c>
      <c r="F20" s="52">
        <f>CostoEtiqCuarto</f>
        <v/>
      </c>
      <c r="G20" s="50">
        <f>D20*(1+IVA)</f>
        <v/>
      </c>
    </row>
    <row r="21">
      <c r="A21" s="47" t="inlineStr">
        <is>
          <t>Mano de obra empaque</t>
        </is>
      </c>
      <c r="B21" s="48">
        <f>TEXT(Cuartos,"#,##0")&amp;" un"</f>
        <v/>
      </c>
      <c r="C21" s="23">
        <f>MOEmpaqueCuarto</f>
        <v/>
      </c>
      <c r="D21" s="23">
        <f>CostoMO</f>
        <v/>
      </c>
      <c r="E21" s="24">
        <f>IF(CostoTotal=0,0,D21/CostoTotal)</f>
        <v/>
      </c>
      <c r="F21" s="26">
        <f>IF(Cuartos=0,0,CostoMO/Cuartos)</f>
        <v/>
      </c>
      <c r="G21" s="23">
        <f>D21*(1+IVA)</f>
        <v/>
      </c>
    </row>
    <row r="22">
      <c r="A22" s="22" t="inlineStr">
        <is>
          <t>Flete / logística</t>
        </is>
      </c>
      <c r="B22" s="49" t="inlineStr">
        <is>
          <t>1 lote</t>
        </is>
      </c>
      <c r="C22" s="50">
        <f>FleteLote</f>
        <v/>
      </c>
      <c r="D22" s="50">
        <f>CostoFlete</f>
        <v/>
      </c>
      <c r="E22" s="51">
        <f>IF(CostoTotal=0,0,D22/CostoTotal)</f>
        <v/>
      </c>
      <c r="F22" s="52">
        <f>IF(Cuartos=0,0,CostoFlete/Cuartos)</f>
        <v/>
      </c>
      <c r="G22" s="50">
        <f>D22*(1+IVA)</f>
        <v/>
      </c>
    </row>
    <row r="23">
      <c r="A23" s="47" t="inlineStr">
        <is>
          <t>Otros</t>
        </is>
      </c>
      <c r="B23" s="48" t="inlineStr">
        <is>
          <t>1 lote</t>
        </is>
      </c>
      <c r="C23" s="23">
        <f>OtrosLote</f>
        <v/>
      </c>
      <c r="D23" s="23">
        <f>CostoOtros</f>
        <v/>
      </c>
      <c r="E23" s="24">
        <f>IF(CostoTotal=0,0,D23/CostoTotal)</f>
        <v/>
      </c>
      <c r="F23" s="26">
        <f>IF(Cuartos=0,0,CostoOtros/Cuartos)</f>
        <v/>
      </c>
      <c r="G23" s="23">
        <f>D23*(1+IVA)</f>
        <v/>
      </c>
    </row>
    <row r="24">
      <c r="A24" s="53" t="inlineStr">
        <is>
          <t>TOTAL COSTO LOTE</t>
        </is>
      </c>
      <c r="B24" s="53" t="n"/>
      <c r="C24" s="53" t="n"/>
      <c r="D24" s="54">
        <f>CostoTotal</f>
        <v/>
      </c>
      <c r="E24" s="55" t="n">
        <v>1</v>
      </c>
      <c r="F24" s="56">
        <f>CostoCuarto</f>
        <v/>
      </c>
      <c r="G24" s="54">
        <f>CajaSalida</f>
        <v/>
      </c>
    </row>
    <row r="26" ht="20" customHeight="1">
      <c r="A26" s="5" t="inlineStr">
        <is>
          <t>C. Venta, utilidad e IVA (asume venta del 100% de los cuartos)</t>
        </is>
      </c>
      <c r="B26" s="4" t="n"/>
      <c r="C26" s="4" t="n"/>
      <c r="D26" s="4" t="n"/>
      <c r="E26" s="4" t="n"/>
      <c r="F26" s="4" t="n"/>
      <c r="G26" s="4" t="n"/>
    </row>
    <row r="27">
      <c r="A27" s="22" t="inlineStr">
        <is>
          <t>Cuartos vendidos</t>
        </is>
      </c>
      <c r="B27" s="42">
        <f>Cuartos</f>
        <v/>
      </c>
      <c r="C27" s="28" t="n"/>
      <c r="D27" s="57" t="n"/>
      <c r="E27" s="57" t="n"/>
      <c r="F27" s="57" t="n"/>
      <c r="G27" s="57" t="n"/>
    </row>
    <row r="28">
      <c r="A28" s="22" t="inlineStr">
        <is>
          <t>Precio neto por cuarto</t>
        </is>
      </c>
      <c r="B28" s="27">
        <f>PrecioVentaCuarto</f>
        <v/>
      </c>
      <c r="C28" s="28" t="n"/>
      <c r="D28" s="57" t="n"/>
      <c r="E28" s="57" t="n"/>
      <c r="F28" s="57" t="n"/>
      <c r="G28" s="57" t="n"/>
    </row>
    <row r="29">
      <c r="A29" s="22" t="inlineStr">
        <is>
          <t>Ingreso neto del lote</t>
        </is>
      </c>
      <c r="B29" s="27">
        <f>VentaNeta</f>
        <v/>
      </c>
      <c r="C29" s="28" t="n"/>
      <c r="D29" s="57" t="n"/>
      <c r="E29" s="57" t="n"/>
      <c r="F29" s="57" t="n"/>
      <c r="G29" s="57" t="n"/>
    </row>
    <row r="30">
      <c r="A30" s="22" t="inlineStr">
        <is>
          <t>Costo neto del lote</t>
        </is>
      </c>
      <c r="B30" s="27">
        <f>CostoTotal</f>
        <v/>
      </c>
      <c r="C30" s="28" t="n"/>
      <c r="D30" s="57" t="n"/>
      <c r="E30" s="57" t="n"/>
      <c r="F30" s="57" t="n"/>
      <c r="G30" s="57" t="n"/>
    </row>
    <row r="31">
      <c r="A31" s="58" t="inlineStr">
        <is>
          <t>UTILIDAD NETA DEL LOTE</t>
        </is>
      </c>
      <c r="B31" s="59">
        <f>Utilidad</f>
        <v/>
      </c>
      <c r="C31" s="60" t="n"/>
      <c r="D31" s="60" t="n"/>
      <c r="E31" s="60" t="n"/>
      <c r="F31" s="60" t="n"/>
      <c r="G31" s="60" t="n"/>
    </row>
    <row r="32">
      <c r="A32" s="58" t="inlineStr">
        <is>
          <t>Margen neto (utilidad / venta)</t>
        </is>
      </c>
      <c r="B32" s="61">
        <f>Margen</f>
        <v/>
      </c>
      <c r="C32" s="60" t="n"/>
      <c r="D32" s="60" t="n"/>
      <c r="E32" s="60" t="n"/>
      <c r="F32" s="60" t="n"/>
      <c r="G32" s="60" t="n"/>
    </row>
    <row r="33">
      <c r="A33" s="22" t="inlineStr">
        <is>
          <t>Markup (utilidad / costo)</t>
        </is>
      </c>
      <c r="B33" s="45">
        <f>Markup</f>
        <v/>
      </c>
      <c r="C33" s="28" t="n"/>
      <c r="D33" s="57" t="n"/>
      <c r="E33" s="57" t="n"/>
      <c r="F33" s="57" t="n"/>
      <c r="G33" s="57" t="n"/>
    </row>
    <row r="34">
      <c r="A34" s="22" t="inlineStr">
        <is>
          <t>Costo por kg tostado</t>
        </is>
      </c>
      <c r="B34" s="31">
        <f>CostoKgTostado</f>
        <v/>
      </c>
      <c r="C34" s="28" t="n"/>
      <c r="D34" s="57" t="n"/>
      <c r="E34" s="57" t="n"/>
      <c r="F34" s="57" t="n"/>
      <c r="G34" s="57" t="n"/>
    </row>
    <row r="35">
      <c r="A35" s="22" t="inlineStr">
        <is>
          <t>Precio de venta por kg tostado</t>
        </is>
      </c>
      <c r="B35" s="27">
        <f>PrecioKgTostadoVenta</f>
        <v/>
      </c>
      <c r="C35" s="28" t="n"/>
      <c r="D35" s="57" t="n"/>
      <c r="E35" s="57" t="n"/>
      <c r="F35" s="57" t="n"/>
      <c r="G35" s="57" t="n"/>
    </row>
    <row r="36">
      <c r="A36" s="22" t="inlineStr">
        <is>
          <t>IVA crédito (compras)</t>
        </is>
      </c>
      <c r="B36" s="27">
        <f>IvaCredito</f>
        <v/>
      </c>
      <c r="C36" s="28" t="n"/>
      <c r="D36" s="57" t="n"/>
      <c r="E36" s="57" t="n"/>
      <c r="F36" s="57" t="n"/>
      <c r="G36" s="57" t="n"/>
    </row>
    <row r="37">
      <c r="A37" s="22" t="inlineStr">
        <is>
          <t>IVA débito (ventas)</t>
        </is>
      </c>
      <c r="B37" s="27">
        <f>IvaDebito</f>
        <v/>
      </c>
      <c r="C37" s="28" t="n"/>
      <c r="D37" s="57" t="n"/>
      <c r="E37" s="57" t="n"/>
      <c r="F37" s="57" t="n"/>
      <c r="G37" s="57" t="n"/>
    </row>
    <row r="38">
      <c r="A38" s="22" t="inlineStr">
        <is>
          <t>IVA a pagar al SII</t>
        </is>
      </c>
      <c r="B38" s="27">
        <f>IvaPagar</f>
        <v/>
      </c>
      <c r="C38" s="28" t="n"/>
      <c r="D38" s="57" t="n"/>
      <c r="E38" s="57" t="n"/>
      <c r="F38" s="57" t="n"/>
      <c r="G38" s="57" t="n"/>
    </row>
    <row r="39">
      <c r="A39" s="22" t="inlineStr">
        <is>
          <t>Desembolso de caja (costos + IVA)</t>
        </is>
      </c>
      <c r="B39" s="27">
        <f>CajaSalida</f>
        <v/>
      </c>
      <c r="C39" s="28" t="n"/>
      <c r="D39" s="57" t="n"/>
      <c r="E39" s="57" t="n"/>
      <c r="F39" s="57" t="n"/>
      <c r="G39" s="57" t="n"/>
    </row>
    <row r="40">
      <c r="A40" s="22" t="inlineStr">
        <is>
          <t>Cobro de caja (ventas + IVA)</t>
        </is>
      </c>
      <c r="B40" s="27">
        <f>CajaEntrada</f>
        <v/>
      </c>
      <c r="C40" s="28" t="n"/>
      <c r="D40" s="57" t="n"/>
      <c r="E40" s="57" t="n"/>
      <c r="F40" s="57" t="n"/>
      <c r="G40" s="57" t="n"/>
    </row>
    <row r="41">
      <c r="A41" s="58" t="inlineStr">
        <is>
          <t>Flujo de caja del ciclo</t>
        </is>
      </c>
      <c r="B41" s="59">
        <f>FlujoCaja</f>
        <v/>
      </c>
      <c r="C41" s="60" t="n"/>
      <c r="D41" s="60" t="n"/>
      <c r="E41" s="60" t="n"/>
      <c r="F41" s="60" t="n"/>
      <c r="G41" s="60" t="n"/>
    </row>
    <row r="43" ht="20" customHeight="1">
      <c r="A43" s="62" t="inlineStr">
        <is>
          <t>El IVA no es ganancia ni pérdida: lo recaudas/pagas al SII. El margen que importa para factibilidad es el NETO. La caja sí se ve afectada: compras 1 tonelada de una vez (sale IVA) y cobras cuando factures los cuartos (entra IVA). Si Tostado Club paga a 30 días, hay que financiar el desembolso de caja hasta el cobro.</t>
        </is>
      </c>
      <c r="B43" s="7" t="n"/>
      <c r="C43" s="7" t="n"/>
      <c r="D43" s="7" t="n"/>
      <c r="E43" s="7" t="n"/>
      <c r="F43" s="7" t="n"/>
      <c r="G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</row>
  </sheetData>
  <mergeCells count="63">
    <mergeCell ref="F11:G11"/>
    <mergeCell ref="D10:E10"/>
    <mergeCell ref="B7:C7"/>
    <mergeCell ref="F10:G10"/>
    <mergeCell ref="D39:G39"/>
    <mergeCell ref="A4:G4"/>
    <mergeCell ref="D30:G30"/>
    <mergeCell ref="F6:G6"/>
    <mergeCell ref="D33:G33"/>
    <mergeCell ref="B31:C31"/>
    <mergeCell ref="D29:G29"/>
    <mergeCell ref="B27:C27"/>
    <mergeCell ref="D38:G38"/>
    <mergeCell ref="F7:G7"/>
    <mergeCell ref="B12:C12"/>
    <mergeCell ref="B39:C39"/>
    <mergeCell ref="D6:E6"/>
    <mergeCell ref="F12:G12"/>
    <mergeCell ref="B11:C11"/>
    <mergeCell ref="D35:G35"/>
    <mergeCell ref="D11:E11"/>
    <mergeCell ref="D13:E13"/>
    <mergeCell ref="F5:G5"/>
    <mergeCell ref="A15:G15"/>
    <mergeCell ref="D34:G34"/>
    <mergeCell ref="B8:C8"/>
    <mergeCell ref="F8:G8"/>
    <mergeCell ref="B13:C13"/>
    <mergeCell ref="D40:G40"/>
    <mergeCell ref="B38:C38"/>
    <mergeCell ref="D31:G31"/>
    <mergeCell ref="A1:G1"/>
    <mergeCell ref="D7:E7"/>
    <mergeCell ref="B29:C29"/>
    <mergeCell ref="D36:G36"/>
    <mergeCell ref="B34:C34"/>
    <mergeCell ref="B37:C37"/>
    <mergeCell ref="B10:C10"/>
    <mergeCell ref="B28:C28"/>
    <mergeCell ref="F13:G13"/>
    <mergeCell ref="B9:C9"/>
    <mergeCell ref="D27:G27"/>
    <mergeCell ref="D9:E9"/>
    <mergeCell ref="B40:C40"/>
    <mergeCell ref="F9:G9"/>
    <mergeCell ref="D12:E12"/>
    <mergeCell ref="D32:G32"/>
    <mergeCell ref="D8:E8"/>
    <mergeCell ref="B6:C6"/>
    <mergeCell ref="B30:C30"/>
    <mergeCell ref="D41:G41"/>
    <mergeCell ref="B33:C33"/>
    <mergeCell ref="B5:C5"/>
    <mergeCell ref="A43:G44"/>
    <mergeCell ref="D5:E5"/>
    <mergeCell ref="A26:G26"/>
    <mergeCell ref="B36:C36"/>
    <mergeCell ref="A2:G2"/>
    <mergeCell ref="B32:C32"/>
    <mergeCell ref="B41:C41"/>
    <mergeCell ref="D37:G37"/>
    <mergeCell ref="B35:C35"/>
    <mergeCell ref="D28:G28"/>
  </mergeCells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F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22" customWidth="1" min="5" max="5"/>
    <col width="30" customWidth="1" min="6" max="6"/>
  </cols>
  <sheetData>
    <row r="1" ht="32" customHeight="1">
      <c r="A1" s="1" t="inlineStr">
        <is>
          <t>Desglose de 1 cuarto de 250 g  ·  caso base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Cada peso del costo se asigna a una bolsa lista para entregar a Tostado Club</t>
        </is>
      </c>
      <c r="B2" s="4" t="n"/>
      <c r="C2" s="4" t="n"/>
      <c r="D2" s="4" t="n"/>
      <c r="E2" s="4" t="n"/>
      <c r="F2" s="4" t="n"/>
    </row>
    <row r="4" ht="20" customHeight="1">
      <c r="A4" s="5" t="inlineStr">
        <is>
          <t>Estructura de costo de un cuarto</t>
        </is>
      </c>
      <c r="B4" s="4" t="n"/>
      <c r="C4" s="4" t="n"/>
      <c r="D4" s="4" t="n"/>
      <c r="E4" s="4" t="n"/>
      <c r="F4" s="4" t="n"/>
    </row>
    <row r="5">
      <c r="A5" s="10" t="inlineStr">
        <is>
          <t>Componente</t>
        </is>
      </c>
      <c r="B5" s="10" t="inlineStr">
        <is>
          <t>$ neto / cuarto</t>
        </is>
      </c>
      <c r="C5" s="10" t="inlineStr">
        <is>
          <t>% del costo</t>
        </is>
      </c>
      <c r="D5" s="10" t="inlineStr">
        <is>
          <t>% del precio</t>
        </is>
      </c>
      <c r="E5" s="10" t="inlineStr">
        <is>
          <t>Gráfico</t>
        </is>
      </c>
      <c r="F5" s="10" t="inlineStr">
        <is>
          <t>Comentario</t>
        </is>
      </c>
    </row>
    <row r="6">
      <c r="A6" s="22" t="inlineStr">
        <is>
          <t>Café verde</t>
        </is>
      </c>
      <c r="B6" s="26">
        <f>CostoVerdeCuarto</f>
        <v/>
      </c>
      <c r="C6" s="24">
        <f>IF(CostoCuarto=0,0,B6/CostoCuarto)</f>
        <v/>
      </c>
      <c r="D6" s="24">
        <f>IF(PrecioVentaCuarto=0,0,B6/PrecioVentaCuarto)</f>
        <v/>
      </c>
      <c r="E6" s="24">
        <f>C6</f>
        <v/>
      </c>
      <c r="F6" s="44" t="inlineStr">
        <is>
          <t>El verde se encarece con la merma: pagas 1 kg y empacas ~820 g.</t>
        </is>
      </c>
    </row>
    <row r="7">
      <c r="A7" s="47" t="inlineStr">
        <is>
          <t>Maquila</t>
        </is>
      </c>
      <c r="B7" s="26">
        <f>CostoMaquilaCuarto</f>
        <v/>
      </c>
      <c r="C7" s="24">
        <f>IF(CostoCuarto=0,0,B7/CostoCuarto)</f>
        <v/>
      </c>
      <c r="D7" s="24">
        <f>IF(PrecioVentaCuarto=0,0,B7/PrecioVentaCuarto)</f>
        <v/>
      </c>
      <c r="E7" s="24">
        <f>C7</f>
        <v/>
      </c>
      <c r="F7" s="44" t="inlineStr">
        <is>
          <t>Tostado. Si la maquila se cobra sobre verde, también la absorbe la merma.</t>
        </is>
      </c>
    </row>
    <row r="8">
      <c r="A8" s="22" t="inlineStr">
        <is>
          <t>Bolsa</t>
        </is>
      </c>
      <c r="B8" s="26">
        <f>CostoBolsaCuarto</f>
        <v/>
      </c>
      <c r="C8" s="24">
        <f>IF(CostoCuarto=0,0,B8/CostoCuarto)</f>
        <v/>
      </c>
      <c r="D8" s="24">
        <f>IF(PrecioVentaCuarto=0,0,B8/PrecioVentaCuarto)</f>
        <v/>
      </c>
      <c r="E8" s="24">
        <f>C8</f>
        <v/>
      </c>
      <c r="F8" s="44" t="inlineStr">
        <is>
          <t>Incluye las bolsas extra de merma de empaque prorrateadas.</t>
        </is>
      </c>
    </row>
    <row r="9">
      <c r="A9" s="47" t="inlineStr">
        <is>
          <t>Etiqueta</t>
        </is>
      </c>
      <c r="B9" s="26">
        <f>CostoEtiqCuarto</f>
        <v/>
      </c>
      <c r="C9" s="24">
        <f>IF(CostoCuarto=0,0,B9/CostoCuarto)</f>
        <v/>
      </c>
      <c r="D9" s="24">
        <f>IF(PrecioVentaCuarto=0,0,B9/PrecioVentaCuarto)</f>
        <v/>
      </c>
      <c r="E9" s="24">
        <f>C9</f>
        <v/>
      </c>
      <c r="F9" s="44" t="inlineStr">
        <is>
          <t>Una etiqueta por bolsa comprada.</t>
        </is>
      </c>
    </row>
    <row r="10">
      <c r="A10" s="22" t="inlineStr">
        <is>
          <t>MO + flete + otros</t>
        </is>
      </c>
      <c r="B10" s="26">
        <f>CostoOtrosCuarto</f>
        <v/>
      </c>
      <c r="C10" s="24">
        <f>IF(CostoCuarto=0,0,B10/CostoCuarto)</f>
        <v/>
      </c>
      <c r="D10" s="24">
        <f>IF(PrecioVentaCuarto=0,0,B10/PrecioVentaCuarto)</f>
        <v/>
      </c>
      <c r="E10" s="24">
        <f>C10</f>
        <v/>
      </c>
      <c r="F10" s="44" t="inlineStr">
        <is>
          <t>Cero hasta que completes esos campos en Parámetros.</t>
        </is>
      </c>
    </row>
    <row r="11">
      <c r="A11" s="53" t="inlineStr">
        <is>
          <t>COSTO TOTAL POR CUARTO</t>
        </is>
      </c>
      <c r="B11" s="56">
        <f>CostoCuarto</f>
        <v/>
      </c>
      <c r="C11" s="55" t="n">
        <v>1</v>
      </c>
      <c r="D11" s="55">
        <f>IF(PrecioVentaCuarto=0,0,CostoCuarto/PrecioVentaCuarto)</f>
        <v/>
      </c>
      <c r="E11" s="53" t="n"/>
      <c r="F11" s="53" t="n"/>
    </row>
    <row r="12">
      <c r="A12" s="63" t="inlineStr">
        <is>
          <t>PRECIO DE VENTA</t>
        </is>
      </c>
      <c r="B12" s="64">
        <f>PrecioVentaCuarto</f>
        <v/>
      </c>
      <c r="C12" s="63" t="n"/>
      <c r="D12" s="65" t="n">
        <v>1</v>
      </c>
      <c r="E12" s="63" t="n"/>
      <c r="F12" s="63" t="n"/>
    </row>
    <row r="13">
      <c r="A13" s="66" t="inlineStr">
        <is>
          <t>UTILIDAD POR CUARTO</t>
        </is>
      </c>
      <c r="B13" s="67">
        <f>UtilidadCuarto</f>
        <v/>
      </c>
      <c r="C13" s="66" t="n"/>
      <c r="D13" s="68">
        <f>Margen</f>
        <v/>
      </c>
      <c r="E13" s="66" t="n"/>
      <c r="F13" s="66" t="n"/>
    </row>
    <row r="31">
      <c r="A31" s="62" t="inlineStr">
        <is>
          <t>Regla rápida: con merma 18%, cada kg verde rinde 3,28 cuartos. Costo verde por cuarto ≈ precio_verde / 3,28. A $9.990 eso es ~$3.046 de verde por bolsa, antes de maquila y empaque. Si la merma sube a 20%, rinde 3,20 cuartos y el verde por bolsa sube a ~$3.122.</t>
        </is>
      </c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</sheetData>
  <mergeCells count="4">
    <mergeCell ref="A2:F2"/>
    <mergeCell ref="A1:F1"/>
    <mergeCell ref="A4:F4"/>
    <mergeCell ref="A31:F33"/>
  </mergeCells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C5F6E"/>
    <outlinePr summaryBelow="1" summaryRight="1"/>
    <pageSetUpPr fitToPage="1"/>
  </sheetPr>
  <dimension ref="A1:H6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32" customHeight="1">
      <c r="A1" s="1" t="inlineStr">
        <is>
          <t>Escenarios de precio del café verde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Misma tonelada, misma maquila, mismas bolsas/etiquetas. Solo cambia el $/kg neto del verde.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69" t="inlineStr">
        <is>
          <t>Los precios de cada columna se editan en Parámetros filas 23–27. El resto (merma, maquila, empaque, venta) se toma de Parámetros.</t>
        </is>
      </c>
      <c r="B4" s="35" t="n"/>
      <c r="C4" s="35" t="n"/>
      <c r="D4" s="35" t="n"/>
      <c r="E4" s="35" t="n"/>
      <c r="F4" s="35" t="n"/>
      <c r="G4" s="35" t="n"/>
      <c r="H4" s="35" t="n"/>
    </row>
    <row r="6">
      <c r="A6" s="10" t="inlineStr">
        <is>
          <t>Indicador</t>
        </is>
      </c>
      <c r="B6" s="10" t="inlineStr">
        <is>
          <t>Unidad</t>
        </is>
      </c>
      <c r="C6" s="10" t="inlineStr">
        <is>
          <t>A</t>
        </is>
      </c>
      <c r="D6" s="10" t="inlineStr">
        <is>
          <t>B</t>
        </is>
      </c>
      <c r="E6" s="10" t="inlineStr">
        <is>
          <t>C  base</t>
        </is>
      </c>
      <c r="F6" s="10" t="inlineStr">
        <is>
          <t>D</t>
        </is>
      </c>
      <c r="G6" s="10" t="inlineStr">
        <is>
          <t>E</t>
        </is>
      </c>
      <c r="H6" s="10" t="inlineStr"/>
    </row>
    <row r="7">
      <c r="A7" s="22" t="inlineStr">
        <is>
          <t>Precio café verde</t>
        </is>
      </c>
      <c r="B7" s="37" t="inlineStr">
        <is>
          <t>$/kg neto</t>
        </is>
      </c>
      <c r="C7" s="70">
        <f>EscA</f>
        <v/>
      </c>
      <c r="D7" s="70">
        <f>EscB</f>
        <v/>
      </c>
      <c r="E7" s="70">
        <f>EscC</f>
        <v/>
      </c>
      <c r="F7" s="70">
        <f>EscD</f>
        <v/>
      </c>
      <c r="G7" s="70">
        <f>EscE</f>
        <v/>
      </c>
      <c r="H7" s="71" t="inlineStr">
        <is>
          <t>Editar en Parámetros</t>
        </is>
      </c>
    </row>
    <row r="8">
      <c r="A8" s="22" t="inlineStr">
        <is>
          <t>Costo café verde</t>
        </is>
      </c>
      <c r="B8" s="37" t="inlineStr">
        <is>
          <t>$ neto</t>
        </is>
      </c>
      <c r="C8" s="23">
        <f>KgVerde*C7</f>
        <v/>
      </c>
      <c r="D8" s="23">
        <f>KgVerde*D7</f>
        <v/>
      </c>
      <c r="E8" s="23">
        <f>KgVerde*E7</f>
        <v/>
      </c>
      <c r="F8" s="23">
        <f>KgVerde*F7</f>
        <v/>
      </c>
      <c r="G8" s="23">
        <f>KgVerde*G7</f>
        <v/>
      </c>
      <c r="H8" s="30" t="n"/>
    </row>
    <row r="9">
      <c r="A9" s="22" t="inlineStr">
        <is>
          <t>Maquila + empaque + otros</t>
        </is>
      </c>
      <c r="B9" s="37" t="inlineStr">
        <is>
          <t>$ neto</t>
        </is>
      </c>
      <c r="C9" s="23">
        <f>CostoSinVerde</f>
        <v/>
      </c>
      <c r="D9" s="23">
        <f>CostoSinVerde</f>
        <v/>
      </c>
      <c r="E9" s="23">
        <f>CostoSinVerde</f>
        <v/>
      </c>
      <c r="F9" s="23">
        <f>CostoSinVerde</f>
        <v/>
      </c>
      <c r="G9" s="23">
        <f>CostoSinVerde</f>
        <v/>
      </c>
      <c r="H9" s="30" t="n"/>
    </row>
    <row r="10">
      <c r="A10" s="22" t="inlineStr">
        <is>
          <t>Costo total lote</t>
        </is>
      </c>
      <c r="B10" s="37" t="inlineStr">
        <is>
          <t>$ neto</t>
        </is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  <c r="G10" s="23">
        <f>G8+G9</f>
        <v/>
      </c>
      <c r="H10" s="30" t="n"/>
    </row>
    <row r="11">
      <c r="A11" s="22" t="inlineStr">
        <is>
          <t>Costo total lote c/IVA</t>
        </is>
      </c>
      <c r="B11" s="37" t="inlineStr">
        <is>
          <t>$</t>
        </is>
      </c>
      <c r="C11" s="23">
        <f>C10*(1+IVA)</f>
        <v/>
      </c>
      <c r="D11" s="23">
        <f>D10*(1+IVA)</f>
        <v/>
      </c>
      <c r="E11" s="23">
        <f>E10*(1+IVA)</f>
        <v/>
      </c>
      <c r="F11" s="23">
        <f>F10*(1+IVA)</f>
        <v/>
      </c>
      <c r="G11" s="23">
        <f>G10*(1+IVA)</f>
        <v/>
      </c>
      <c r="H11" s="30" t="n"/>
    </row>
    <row r="12">
      <c r="A12" s="22" t="inlineStr">
        <is>
          <t>Kg tostados</t>
        </is>
      </c>
      <c r="B12" s="37" t="inlineStr">
        <is>
          <t>kg</t>
        </is>
      </c>
      <c r="C12" s="72">
        <f>KgTostado</f>
        <v/>
      </c>
      <c r="D12" s="72">
        <f>KgTostado</f>
        <v/>
      </c>
      <c r="E12" s="72">
        <f>KgTostado</f>
        <v/>
      </c>
      <c r="F12" s="72">
        <f>KgTostado</f>
        <v/>
      </c>
      <c r="G12" s="72">
        <f>KgTostado</f>
        <v/>
      </c>
      <c r="H12" s="30" t="n"/>
    </row>
    <row r="13">
      <c r="A13" s="22" t="inlineStr">
        <is>
          <t>Cuartos producidos</t>
        </is>
      </c>
      <c r="B13" s="37" t="inlineStr">
        <is>
          <t>un</t>
        </is>
      </c>
      <c r="C13" s="73">
        <f>Cuartos</f>
        <v/>
      </c>
      <c r="D13" s="73">
        <f>Cuartos</f>
        <v/>
      </c>
      <c r="E13" s="73">
        <f>Cuartos</f>
        <v/>
      </c>
      <c r="F13" s="73">
        <f>Cuartos</f>
        <v/>
      </c>
      <c r="G13" s="73">
        <f>Cuartos</f>
        <v/>
      </c>
      <c r="H13" s="30" t="n"/>
    </row>
    <row r="14">
      <c r="A14" s="22" t="inlineStr">
        <is>
          <t>Ingreso neto (venta 100%)</t>
        </is>
      </c>
      <c r="B14" s="37" t="inlineStr">
        <is>
          <t>$ neto</t>
        </is>
      </c>
      <c r="C14" s="23">
        <f>VentaNeta</f>
        <v/>
      </c>
      <c r="D14" s="23">
        <f>VentaNeta</f>
        <v/>
      </c>
      <c r="E14" s="23">
        <f>VentaNeta</f>
        <v/>
      </c>
      <c r="F14" s="23">
        <f>VentaNeta</f>
        <v/>
      </c>
      <c r="G14" s="23">
        <f>VentaNeta</f>
        <v/>
      </c>
      <c r="H14" s="30" t="n"/>
    </row>
    <row r="15">
      <c r="A15" s="22" t="inlineStr">
        <is>
          <t>Ingreso c/IVA</t>
        </is>
      </c>
      <c r="B15" s="37" t="inlineStr">
        <is>
          <t>$</t>
        </is>
      </c>
      <c r="C15" s="23">
        <f>CajaEntrada</f>
        <v/>
      </c>
      <c r="D15" s="23">
        <f>CajaEntrada</f>
        <v/>
      </c>
      <c r="E15" s="23">
        <f>CajaEntrada</f>
        <v/>
      </c>
      <c r="F15" s="23">
        <f>CajaEntrada</f>
        <v/>
      </c>
      <c r="G15" s="23">
        <f>CajaEntrada</f>
        <v/>
      </c>
      <c r="H15" s="30" t="n"/>
    </row>
    <row r="17">
      <c r="A17" s="22" t="inlineStr">
        <is>
          <t>Costo por kg tostado</t>
        </is>
      </c>
      <c r="B17" s="37" t="inlineStr">
        <is>
          <t>$/kg neto</t>
        </is>
      </c>
      <c r="C17" s="26">
        <f>IF(KgTostado=0,0,C10/KgTostado)</f>
        <v/>
      </c>
      <c r="D17" s="26">
        <f>IF(KgTostado=0,0,D10/KgTostado)</f>
        <v/>
      </c>
      <c r="E17" s="26">
        <f>IF(KgTostado=0,0,E10/KgTostado)</f>
        <v/>
      </c>
      <c r="F17" s="26">
        <f>IF(KgTostado=0,0,F10/KgTostado)</f>
        <v/>
      </c>
      <c r="G17" s="26">
        <f>IF(KgTostado=0,0,G10/KgTostado)</f>
        <v/>
      </c>
      <c r="H17" s="30" t="n"/>
    </row>
    <row r="18">
      <c r="A18" s="22" t="inlineStr">
        <is>
          <t>Costo por cuarto</t>
        </is>
      </c>
      <c r="B18" s="37" t="inlineStr">
        <is>
          <t>$/un neto</t>
        </is>
      </c>
      <c r="C18" s="26">
        <f>IF(Cuartos=0,0,C10/Cuartos)</f>
        <v/>
      </c>
      <c r="D18" s="26">
        <f>IF(Cuartos=0,0,D10/Cuartos)</f>
        <v/>
      </c>
      <c r="E18" s="26">
        <f>IF(Cuartos=0,0,E10/Cuartos)</f>
        <v/>
      </c>
      <c r="F18" s="26">
        <f>IF(Cuartos=0,0,F10/Cuartos)</f>
        <v/>
      </c>
      <c r="G18" s="26">
        <f>IF(Cuartos=0,0,G10/Cuartos)</f>
        <v/>
      </c>
      <c r="H18" s="30" t="n"/>
    </row>
    <row r="19">
      <c r="A19" s="22" t="inlineStr">
        <is>
          <t>Utilidad por cuarto</t>
        </is>
      </c>
      <c r="B19" s="37" t="inlineStr">
        <is>
          <t>$/un neto</t>
        </is>
      </c>
      <c r="C19" s="26">
        <f>PrecioVentaCuarto-C18</f>
        <v/>
      </c>
      <c r="D19" s="26">
        <f>PrecioVentaCuarto-D18</f>
        <v/>
      </c>
      <c r="E19" s="26">
        <f>PrecioVentaCuarto-E18</f>
        <v/>
      </c>
      <c r="F19" s="26">
        <f>PrecioVentaCuarto-F18</f>
        <v/>
      </c>
      <c r="G19" s="26">
        <f>PrecioVentaCuarto-G18</f>
        <v/>
      </c>
      <c r="H19" s="30" t="n"/>
    </row>
    <row r="20">
      <c r="A20" s="22" t="inlineStr">
        <is>
          <t>Café verde por cuarto</t>
        </is>
      </c>
      <c r="B20" s="37" t="inlineStr">
        <is>
          <t>$/un neto</t>
        </is>
      </c>
      <c r="C20" s="26">
        <f>IF(Cuartos=0,0,C8/Cuartos)</f>
        <v/>
      </c>
      <c r="D20" s="26">
        <f>IF(Cuartos=0,0,D8/Cuartos)</f>
        <v/>
      </c>
      <c r="E20" s="26">
        <f>IF(Cuartos=0,0,E8/Cuartos)</f>
        <v/>
      </c>
      <c r="F20" s="26">
        <f>IF(Cuartos=0,0,F8/Cuartos)</f>
        <v/>
      </c>
      <c r="G20" s="26">
        <f>IF(Cuartos=0,0,G8/Cuartos)</f>
        <v/>
      </c>
      <c r="H20" s="30" t="n"/>
    </row>
    <row r="22">
      <c r="A22" s="58" t="inlineStr">
        <is>
          <t>UTILIDAD NETA DEL LOTE</t>
        </is>
      </c>
      <c r="B22" s="74" t="inlineStr">
        <is>
          <t>$ neto</t>
        </is>
      </c>
      <c r="C22" s="75">
        <f>C14-C10</f>
        <v/>
      </c>
      <c r="D22" s="75">
        <f>D14-D10</f>
        <v/>
      </c>
      <c r="E22" s="75">
        <f>E14-E10</f>
        <v/>
      </c>
      <c r="F22" s="75">
        <f>F14-F10</f>
        <v/>
      </c>
      <c r="G22" s="75">
        <f>G14-G10</f>
        <v/>
      </c>
      <c r="H22" s="30" t="n"/>
    </row>
    <row r="23">
      <c r="A23" s="58" t="inlineStr">
        <is>
          <t>Margen neto</t>
        </is>
      </c>
      <c r="B23" s="74" t="inlineStr">
        <is>
          <t>%</t>
        </is>
      </c>
      <c r="C23" s="76">
        <f>IF(C14=0,0,C22/C14)</f>
        <v/>
      </c>
      <c r="D23" s="76">
        <f>IF(D14=0,0,D22/D14)</f>
        <v/>
      </c>
      <c r="E23" s="76">
        <f>IF(E14=0,0,E22/E14)</f>
        <v/>
      </c>
      <c r="F23" s="76">
        <f>IF(F14=0,0,F22/F14)</f>
        <v/>
      </c>
      <c r="G23" s="76">
        <f>IF(G14=0,0,G22/G14)</f>
        <v/>
      </c>
      <c r="H23" s="30" t="n"/>
    </row>
    <row r="24">
      <c r="A24" s="22" t="inlineStr">
        <is>
          <t>Markup sobre costo</t>
        </is>
      </c>
      <c r="B24" s="37" t="inlineStr">
        <is>
          <t>%</t>
        </is>
      </c>
      <c r="C24" s="24">
        <f>IF(C10=0,0,C22/C10)</f>
        <v/>
      </c>
      <c r="D24" s="24">
        <f>IF(D10=0,0,D22/D10)</f>
        <v/>
      </c>
      <c r="E24" s="24">
        <f>IF(E10=0,0,E22/E10)</f>
        <v/>
      </c>
      <c r="F24" s="24">
        <f>IF(F10=0,0,F22/F10)</f>
        <v/>
      </c>
      <c r="G24" s="24">
        <f>IF(G10=0,0,G22/G10)</f>
        <v/>
      </c>
      <c r="H24" s="30" t="n"/>
    </row>
    <row r="25">
      <c r="A25" s="77" t="inlineStr">
        <is>
          <t>¿Cumple margen objetivo?</t>
        </is>
      </c>
      <c r="B25" s="78" t="inlineStr">
        <is>
          <t>SÍ / NO</t>
        </is>
      </c>
      <c r="C25" s="79">
        <f>IF(C23&gt;=MargenObjetivo,"SÍ","NO")</f>
        <v/>
      </c>
      <c r="D25" s="79">
        <f>IF(D23&gt;=MargenObjetivo,"SÍ","NO")</f>
        <v/>
      </c>
      <c r="E25" s="79">
        <f>IF(E23&gt;=MargenObjetivo,"SÍ","NO")</f>
        <v/>
      </c>
      <c r="F25" s="79">
        <f>IF(F23&gt;=MargenObjetivo,"SÍ","NO")</f>
        <v/>
      </c>
      <c r="G25" s="79">
        <f>IF(G23&gt;=MargenObjetivo,"SÍ","NO")</f>
        <v/>
      </c>
      <c r="H25" s="30" t="n"/>
    </row>
    <row r="27">
      <c r="A27" s="22" t="inlineStr">
        <is>
          <t>IVA crédito</t>
        </is>
      </c>
      <c r="B27" s="37" t="inlineStr">
        <is>
          <t>$</t>
        </is>
      </c>
      <c r="C27" s="23">
        <f>C10*IVA</f>
        <v/>
      </c>
      <c r="D27" s="23">
        <f>D10*IVA</f>
        <v/>
      </c>
      <c r="E27" s="23">
        <f>E10*IVA</f>
        <v/>
      </c>
      <c r="F27" s="23">
        <f>F10*IVA</f>
        <v/>
      </c>
      <c r="G27" s="23">
        <f>G10*IVA</f>
        <v/>
      </c>
      <c r="H27" s="30" t="n"/>
    </row>
    <row r="28">
      <c r="A28" s="22" t="inlineStr">
        <is>
          <t>IVA débito</t>
        </is>
      </c>
      <c r="B28" s="37" t="inlineStr">
        <is>
          <t>$</t>
        </is>
      </c>
      <c r="C28" s="23">
        <f>IvaDebito</f>
        <v/>
      </c>
      <c r="D28" s="23">
        <f>IvaDebito</f>
        <v/>
      </c>
      <c r="E28" s="23">
        <f>IvaDebito</f>
        <v/>
      </c>
      <c r="F28" s="23">
        <f>IvaDebito</f>
        <v/>
      </c>
      <c r="G28" s="23">
        <f>IvaDebito</f>
        <v/>
      </c>
      <c r="H28" s="30" t="n"/>
    </row>
    <row r="29">
      <c r="A29" s="22" t="inlineStr">
        <is>
          <t>IVA a pagar</t>
        </is>
      </c>
      <c r="B29" s="37" t="inlineStr">
        <is>
          <t>$</t>
        </is>
      </c>
      <c r="C29" s="23">
        <f>C28-C27</f>
        <v/>
      </c>
      <c r="D29" s="23">
        <f>D28-D27</f>
        <v/>
      </c>
      <c r="E29" s="23">
        <f>E28-E27</f>
        <v/>
      </c>
      <c r="F29" s="23">
        <f>F28-F27</f>
        <v/>
      </c>
      <c r="G29" s="23">
        <f>G28-G27</f>
        <v/>
      </c>
      <c r="H29" s="30" t="n"/>
    </row>
    <row r="30">
      <c r="A30" s="80" t="inlineStr">
        <is>
          <t>Flujo de caja del ciclo</t>
        </is>
      </c>
      <c r="B30" s="81" t="inlineStr">
        <is>
          <t>$</t>
        </is>
      </c>
      <c r="C30" s="82">
        <f>C15-C11</f>
        <v/>
      </c>
      <c r="D30" s="82">
        <f>D15-D11</f>
        <v/>
      </c>
      <c r="E30" s="82">
        <f>E15-E11</f>
        <v/>
      </c>
      <c r="F30" s="82">
        <f>F15-F11</f>
        <v/>
      </c>
      <c r="G30" s="82">
        <f>G15-G11</f>
        <v/>
      </c>
      <c r="H30" s="30" t="n"/>
    </row>
    <row r="31">
      <c r="A31" s="22" t="inlineStr">
        <is>
          <t>Utilidad neta / kg verde</t>
        </is>
      </c>
      <c r="B31" s="37" t="inlineStr">
        <is>
          <t>$/kg</t>
        </is>
      </c>
      <c r="C31" s="26">
        <f>IF(KgVerde=0,0,C22/KgVerde)</f>
        <v/>
      </c>
      <c r="D31" s="26">
        <f>IF(KgVerde=0,0,D22/KgVerde)</f>
        <v/>
      </c>
      <c r="E31" s="26">
        <f>IF(KgVerde=0,0,E22/KgVerde)</f>
        <v/>
      </c>
      <c r="F31" s="26">
        <f>IF(KgVerde=0,0,F22/KgVerde)</f>
        <v/>
      </c>
      <c r="G31" s="26">
        <f>IF(KgVerde=0,0,G22/KgVerde)</f>
        <v/>
      </c>
      <c r="H31" s="30" t="n"/>
    </row>
    <row r="32">
      <c r="A32" s="22" t="inlineStr">
        <is>
          <t>ROI sobre costo neto</t>
        </is>
      </c>
      <c r="B32" s="37" t="inlineStr">
        <is>
          <t>%</t>
        </is>
      </c>
      <c r="C32" s="24">
        <f>IF(C10=0,0,C22/C10)</f>
        <v/>
      </c>
      <c r="D32" s="24">
        <f>IF(D10=0,0,D22/D10)</f>
        <v/>
      </c>
      <c r="E32" s="24">
        <f>IF(E10=0,0,E22/E10)</f>
        <v/>
      </c>
      <c r="F32" s="24">
        <f>IF(F10=0,0,F22/F10)</f>
        <v/>
      </c>
      <c r="G32" s="24">
        <f>IF(G10=0,0,G22/G10)</f>
        <v/>
      </c>
      <c r="H32" s="30" t="n"/>
    </row>
    <row r="66">
      <c r="A66" s="62" t="inlineStr">
        <is>
          <t>Cómo leerlo: si todos los escenarios salen SÍ, el negocio aguanta bien una subida del verde hasta $10.500. Si alguno sale NO, ese precio ya no cumple tu margen mínimo de Parámetros. Compara también el desembolso de caja (fila 11): es lo que hay que tener disponible para comprar la tonelada, tostar y empacar.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</sheetData>
  <mergeCells count="4">
    <mergeCell ref="A4:H4"/>
    <mergeCell ref="A2:H2"/>
    <mergeCell ref="A66:H67"/>
    <mergeCell ref="A1:H1"/>
  </mergeCells>
  <conditionalFormatting sqref="C23:G23">
    <cfRule type="colorScale" priority="1">
      <colorScale>
        <cfvo type="min"/>
        <cfvo type="percentile" val="50"/>
        <cfvo type="max"/>
        <color rgb="00F8D7DA"/>
        <color rgb="00FFF3CD"/>
        <color rgb="00A9DFBF"/>
      </colorScale>
    </cfRule>
  </conditionalFormatting>
  <conditionalFormatting sqref="C25:G25">
    <cfRule type="expression" priority="2" dxfId="4">
      <formula>C25="SÍ"</formula>
    </cfRule>
    <cfRule type="expression" priority="3" dxfId="5">
      <formula>C25="NO"</formula>
    </cfRule>
  </conditionalFormatting>
  <conditionalFormatting sqref="C22:G22">
    <cfRule type="cellIs" priority="4" operator="lessThan" dxfId="3">
      <formula>0</formula>
    </cfRule>
  </conditionalFormatting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9B2335"/>
    <outlinePr summaryBelow="1" summaryRight="1"/>
    <pageSetUpPr fitToPage="1"/>
  </sheetPr>
  <dimension ref="A1:J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32" customHeight="1">
      <c r="A1" s="1" t="inlineStr">
        <is>
          <t>Sensibilidad extra  ·  merma, bolsas y precio de venta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Tablas que se recalculan con Parámetros. Útiles si aún no cierras cotización de empaque o el perfil de tueste.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0" customHeight="1">
      <c r="A4" s="5" t="inlineStr">
        <is>
          <t>1. Utilidad neta del lote: precio verde (filas) × merma de tostado (columnas)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10" t="inlineStr">
        <is>
          <t>Verde \ Merma</t>
        </is>
      </c>
      <c r="B5" s="83" t="n">
        <v>0.14</v>
      </c>
      <c r="C5" s="83" t="n">
        <v>0.16</v>
      </c>
      <c r="D5" s="83" t="n">
        <v>0.18</v>
      </c>
      <c r="E5" s="83" t="n">
        <v>0.2</v>
      </c>
      <c r="F5" s="83" t="n">
        <v>0.22</v>
      </c>
      <c r="G5" s="84" t="inlineStr">
        <is>
          <t>Lectura</t>
        </is>
      </c>
      <c r="H5" s="11" t="n"/>
      <c r="I5" s="11" t="n"/>
      <c r="J5" s="11" t="n"/>
    </row>
    <row r="6">
      <c r="A6" s="85">
        <f>EscA</f>
        <v/>
      </c>
      <c r="B6" s="23">
        <f>((IF((PesoCuartoG/1000)=0,0,INT((KgVerde*(1-B$5))/(PesoCuartoG/1000))))*PrecioVentaCuarto)-(KgVerde*$A6+(IF(MaquilaSobre="Tostado",(KgVerde*(1-B$5)),KgVerde))*MaquilaKg+(ROUNDUP((IF((PesoCuartoG/1000)=0,0,INT((KgVerde*(1-B$5))/(PesoCuartoG/1000))))*(1+MermaEmpaque),0))*(PrecioBolsa+PrecioEtiqueta)+(IF((PesoCuartoG/1000)=0,0,INT((KgVerde*(1-B$5))/(PesoCuartoG/1000))))*MOEmpaqueCuarto+FleteLote+OtrosLote)</f>
        <v/>
      </c>
      <c r="C6" s="23">
        <f>((IF((PesoCuartoG/1000)=0,0,INT((KgVerde*(1-C$5))/(PesoCuartoG/1000))))*PrecioVentaCuarto)-(KgVerde*$A6+(IF(MaquilaSobre="Tostado",(KgVerde*(1-C$5)),KgVerde))*MaquilaKg+(ROUNDUP((IF((PesoCuartoG/1000)=0,0,INT((KgVerde*(1-C$5))/(PesoCuartoG/1000))))*(1+MermaEmpaque),0))*(PrecioBolsa+PrecioEtiqueta)+(IF((PesoCuartoG/1000)=0,0,INT((KgVerde*(1-C$5))/(PesoCuartoG/1000))))*MOEmpaqueCuarto+FleteLote+OtrosLote)</f>
        <v/>
      </c>
      <c r="D6" s="23">
        <f>((IF((PesoCuartoG/1000)=0,0,INT((KgVerde*(1-D$5))/(PesoCuartoG/1000))))*PrecioVentaCuarto)-(KgVerde*$A6+(IF(MaquilaSobre="Tostado",(KgVerde*(1-D$5)),KgVerde))*MaquilaKg+(ROUNDUP((IF((PesoCuartoG/1000)=0,0,INT((KgVerde*(1-D$5))/(PesoCuartoG/1000))))*(1+MermaEmpaque),0))*(PrecioBolsa+PrecioEtiqueta)+(IF((PesoCuartoG/1000)=0,0,INT((KgVerde*(1-D$5))/(PesoCuartoG/1000))))*MOEmpaqueCuarto+FleteLote+OtrosLote)</f>
        <v/>
      </c>
      <c r="E6" s="23">
        <f>((IF((PesoCuartoG/1000)=0,0,INT((KgVerde*(1-E$5))/(PesoCuartoG/1000))))*PrecioVentaCuarto)-(KgVerde*$A6+(IF(MaquilaSobre="Tostado",(KgVerde*(1-E$5)),KgVerde))*MaquilaKg+(ROUNDUP((IF((PesoCuartoG/1000)=0,0,INT((KgVerde*(1-E$5))/(PesoCuartoG/1000))))*(1+MermaEmpaque),0))*(PrecioBolsa+PrecioEtiqueta)+(IF((PesoCuartoG/1000)=0,0,INT((KgVerde*(1-E$5))/(PesoCuartoG/1000))))*MOEmpaqueCuarto+FleteLote+OtrosLote)</f>
        <v/>
      </c>
      <c r="F6" s="23">
        <f>((IF((PesoCuartoG/1000)=0,0,INT((KgVerde*(1-F$5))/(PesoCuartoG/1000))))*PrecioVentaCuarto)-(KgVerde*$A6+(IF(MaquilaSobre="Tostado",(KgVerde*(1-F$5)),KgVerde))*MaquilaKg+(ROUNDUP((IF((PesoCuartoG/1000)=0,0,INT((KgVerde*(1-F$5))/(PesoCuartoG/1000))))*(1+MermaEmpaque),0))*(PrecioBolsa+PrecioEtiqueta)+(IF((PesoCuartoG/1000)=0,0,INT((KgVerde*(1-F$5))/(PesoCuartoG/1000))))*MOEmpaqueCuarto+FleteLote+OtrosLote)</f>
        <v/>
      </c>
      <c r="G6" s="86" t="inlineStr">
        <is>
          <t>Más merma = menos cuartos = menos venta y el verde se reparte en menos bolsas.</t>
        </is>
      </c>
      <c r="H6" s="7" t="n"/>
      <c r="I6" s="7" t="n"/>
      <c r="J6" s="7" t="n"/>
    </row>
    <row r="7">
      <c r="A7" s="85">
        <f>EscB</f>
        <v/>
      </c>
      <c r="B7" s="23">
        <f>((IF((PesoCuartoG/1000)=0,0,INT((KgVerde*(1-B$5))/(PesoCuartoG/1000))))*PrecioVentaCuarto)-(KgVerde*$A7+(IF(MaquilaSobre="Tostado",(KgVerde*(1-B$5)),KgVerde))*MaquilaKg+(ROUNDUP((IF((PesoCuartoG/1000)=0,0,INT((KgVerde*(1-B$5))/(PesoCuartoG/1000))))*(1+MermaEmpaque),0))*(PrecioBolsa+PrecioEtiqueta)+(IF((PesoCuartoG/1000)=0,0,INT((KgVerde*(1-B$5))/(PesoCuartoG/1000))))*MOEmpaqueCuarto+FleteLote+OtrosLote)</f>
        <v/>
      </c>
      <c r="C7" s="23">
        <f>((IF((PesoCuartoG/1000)=0,0,INT((KgVerde*(1-C$5))/(PesoCuartoG/1000))))*PrecioVentaCuarto)-(KgVerde*$A7+(IF(MaquilaSobre="Tostado",(KgVerde*(1-C$5)),KgVerde))*MaquilaKg+(ROUNDUP((IF((PesoCuartoG/1000)=0,0,INT((KgVerde*(1-C$5))/(PesoCuartoG/1000))))*(1+MermaEmpaque),0))*(PrecioBolsa+PrecioEtiqueta)+(IF((PesoCuartoG/1000)=0,0,INT((KgVerde*(1-C$5))/(PesoCuartoG/1000))))*MOEmpaqueCuarto+FleteLote+OtrosLote)</f>
        <v/>
      </c>
      <c r="D7" s="23">
        <f>((IF((PesoCuartoG/1000)=0,0,INT((KgVerde*(1-D$5))/(PesoCuartoG/1000))))*PrecioVentaCuarto)-(KgVerde*$A7+(IF(MaquilaSobre="Tostado",(KgVerde*(1-D$5)),KgVerde))*MaquilaKg+(ROUNDUP((IF((PesoCuartoG/1000)=0,0,INT((KgVerde*(1-D$5))/(PesoCuartoG/1000))))*(1+MermaEmpaque),0))*(PrecioBolsa+PrecioEtiqueta)+(IF((PesoCuartoG/1000)=0,0,INT((KgVerde*(1-D$5))/(PesoCuartoG/1000))))*MOEmpaqueCuarto+FleteLote+OtrosLote)</f>
        <v/>
      </c>
      <c r="E7" s="23">
        <f>((IF((PesoCuartoG/1000)=0,0,INT((KgVerde*(1-E$5))/(PesoCuartoG/1000))))*PrecioVentaCuarto)-(KgVerde*$A7+(IF(MaquilaSobre="Tostado",(KgVerde*(1-E$5)),KgVerde))*MaquilaKg+(ROUNDUP((IF((PesoCuartoG/1000)=0,0,INT((KgVerde*(1-E$5))/(PesoCuartoG/1000))))*(1+MermaEmpaque),0))*(PrecioBolsa+PrecioEtiqueta)+(IF((PesoCuartoG/1000)=0,0,INT((KgVerde*(1-E$5))/(PesoCuartoG/1000))))*MOEmpaqueCuarto+FleteLote+OtrosLote)</f>
        <v/>
      </c>
      <c r="F7" s="23">
        <f>((IF((PesoCuartoG/1000)=0,0,INT((KgVerde*(1-F$5))/(PesoCuartoG/1000))))*PrecioVentaCuarto)-(KgVerde*$A7+(IF(MaquilaSobre="Tostado",(KgVerde*(1-F$5)),KgVerde))*MaquilaKg+(ROUNDUP((IF((PesoCuartoG/1000)=0,0,INT((KgVerde*(1-F$5))/(PesoCuartoG/1000))))*(1+MermaEmpaque),0))*(PrecioBolsa+PrecioEtiqueta)+(IF((PesoCuartoG/1000)=0,0,INT((KgVerde*(1-F$5))/(PesoCuartoG/1000))))*MOEmpaqueCuarto+FleteLote+OtrosLote)</f>
        <v/>
      </c>
      <c r="G7" s="7" t="n"/>
      <c r="H7" s="7" t="n"/>
      <c r="I7" s="7" t="n"/>
      <c r="J7" s="7" t="n"/>
    </row>
    <row r="8">
      <c r="A8" s="85">
        <f>EscC</f>
        <v/>
      </c>
      <c r="B8" s="23">
        <f>((IF((PesoCuartoG/1000)=0,0,INT((KgVerde*(1-B$5))/(PesoCuartoG/1000))))*PrecioVentaCuarto)-(KgVerde*$A8+(IF(MaquilaSobre="Tostado",(KgVerde*(1-B$5)),KgVerde))*MaquilaKg+(ROUNDUP((IF((PesoCuartoG/1000)=0,0,INT((KgVerde*(1-B$5))/(PesoCuartoG/1000))))*(1+MermaEmpaque),0))*(PrecioBolsa+PrecioEtiqueta)+(IF((PesoCuartoG/1000)=0,0,INT((KgVerde*(1-B$5))/(PesoCuartoG/1000))))*MOEmpaqueCuarto+FleteLote+OtrosLote)</f>
        <v/>
      </c>
      <c r="C8" s="23">
        <f>((IF((PesoCuartoG/1000)=0,0,INT((KgVerde*(1-C$5))/(PesoCuartoG/1000))))*PrecioVentaCuarto)-(KgVerde*$A8+(IF(MaquilaSobre="Tostado",(KgVerde*(1-C$5)),KgVerde))*MaquilaKg+(ROUNDUP((IF((PesoCuartoG/1000)=0,0,INT((KgVerde*(1-C$5))/(PesoCuartoG/1000))))*(1+MermaEmpaque),0))*(PrecioBolsa+PrecioEtiqueta)+(IF((PesoCuartoG/1000)=0,0,INT((KgVerde*(1-C$5))/(PesoCuartoG/1000))))*MOEmpaqueCuarto+FleteLote+OtrosLote)</f>
        <v/>
      </c>
      <c r="D8" s="23">
        <f>((IF((PesoCuartoG/1000)=0,0,INT((KgVerde*(1-D$5))/(PesoCuartoG/1000))))*PrecioVentaCuarto)-(KgVerde*$A8+(IF(MaquilaSobre="Tostado",(KgVerde*(1-D$5)),KgVerde))*MaquilaKg+(ROUNDUP((IF((PesoCuartoG/1000)=0,0,INT((KgVerde*(1-D$5))/(PesoCuartoG/1000))))*(1+MermaEmpaque),0))*(PrecioBolsa+PrecioEtiqueta)+(IF((PesoCuartoG/1000)=0,0,INT((KgVerde*(1-D$5))/(PesoCuartoG/1000))))*MOEmpaqueCuarto+FleteLote+OtrosLote)</f>
        <v/>
      </c>
      <c r="E8" s="23">
        <f>((IF((PesoCuartoG/1000)=0,0,INT((KgVerde*(1-E$5))/(PesoCuartoG/1000))))*PrecioVentaCuarto)-(KgVerde*$A8+(IF(MaquilaSobre="Tostado",(KgVerde*(1-E$5)),KgVerde))*MaquilaKg+(ROUNDUP((IF((PesoCuartoG/1000)=0,0,INT((KgVerde*(1-E$5))/(PesoCuartoG/1000))))*(1+MermaEmpaque),0))*(PrecioBolsa+PrecioEtiqueta)+(IF((PesoCuartoG/1000)=0,0,INT((KgVerde*(1-E$5))/(PesoCuartoG/1000))))*MOEmpaqueCuarto+FleteLote+OtrosLote)</f>
        <v/>
      </c>
      <c r="F8" s="23">
        <f>((IF((PesoCuartoG/1000)=0,0,INT((KgVerde*(1-F$5))/(PesoCuartoG/1000))))*PrecioVentaCuarto)-(KgVerde*$A8+(IF(MaquilaSobre="Tostado",(KgVerde*(1-F$5)),KgVerde))*MaquilaKg+(ROUNDUP((IF((PesoCuartoG/1000)=0,0,INT((KgVerde*(1-F$5))/(PesoCuartoG/1000))))*(1+MermaEmpaque),0))*(PrecioBolsa+PrecioEtiqueta)+(IF((PesoCuartoG/1000)=0,0,INT((KgVerde*(1-F$5))/(PesoCuartoG/1000))))*MOEmpaqueCuarto+FleteLote+OtrosLote)</f>
        <v/>
      </c>
      <c r="G8" s="7" t="n"/>
      <c r="H8" s="7" t="n"/>
      <c r="I8" s="7" t="n"/>
      <c r="J8" s="7" t="n"/>
    </row>
    <row r="9">
      <c r="A9" s="85">
        <f>EscD</f>
        <v/>
      </c>
      <c r="B9" s="23">
        <f>((IF((PesoCuartoG/1000)=0,0,INT((KgVerde*(1-B$5))/(PesoCuartoG/1000))))*PrecioVentaCuarto)-(KgVerde*$A9+(IF(MaquilaSobre="Tostado",(KgVerde*(1-B$5)),KgVerde))*MaquilaKg+(ROUNDUP((IF((PesoCuartoG/1000)=0,0,INT((KgVerde*(1-B$5))/(PesoCuartoG/1000))))*(1+MermaEmpaque),0))*(PrecioBolsa+PrecioEtiqueta)+(IF((PesoCuartoG/1000)=0,0,INT((KgVerde*(1-B$5))/(PesoCuartoG/1000))))*MOEmpaqueCuarto+FleteLote+OtrosLote)</f>
        <v/>
      </c>
      <c r="C9" s="23">
        <f>((IF((PesoCuartoG/1000)=0,0,INT((KgVerde*(1-C$5))/(PesoCuartoG/1000))))*PrecioVentaCuarto)-(KgVerde*$A9+(IF(MaquilaSobre="Tostado",(KgVerde*(1-C$5)),KgVerde))*MaquilaKg+(ROUNDUP((IF((PesoCuartoG/1000)=0,0,INT((KgVerde*(1-C$5))/(PesoCuartoG/1000))))*(1+MermaEmpaque),0))*(PrecioBolsa+PrecioEtiqueta)+(IF((PesoCuartoG/1000)=0,0,INT((KgVerde*(1-C$5))/(PesoCuartoG/1000))))*MOEmpaqueCuarto+FleteLote+OtrosLote)</f>
        <v/>
      </c>
      <c r="D9" s="23">
        <f>((IF((PesoCuartoG/1000)=0,0,INT((KgVerde*(1-D$5))/(PesoCuartoG/1000))))*PrecioVentaCuarto)-(KgVerde*$A9+(IF(MaquilaSobre="Tostado",(KgVerde*(1-D$5)),KgVerde))*MaquilaKg+(ROUNDUP((IF((PesoCuartoG/1000)=0,0,INT((KgVerde*(1-D$5))/(PesoCuartoG/1000))))*(1+MermaEmpaque),0))*(PrecioBolsa+PrecioEtiqueta)+(IF((PesoCuartoG/1000)=0,0,INT((KgVerde*(1-D$5))/(PesoCuartoG/1000))))*MOEmpaqueCuarto+FleteLote+OtrosLote)</f>
        <v/>
      </c>
      <c r="E9" s="23">
        <f>((IF((PesoCuartoG/1000)=0,0,INT((KgVerde*(1-E$5))/(PesoCuartoG/1000))))*PrecioVentaCuarto)-(KgVerde*$A9+(IF(MaquilaSobre="Tostado",(KgVerde*(1-E$5)),KgVerde))*MaquilaKg+(ROUNDUP((IF((PesoCuartoG/1000)=0,0,INT((KgVerde*(1-E$5))/(PesoCuartoG/1000))))*(1+MermaEmpaque),0))*(PrecioBolsa+PrecioEtiqueta)+(IF((PesoCuartoG/1000)=0,0,INT((KgVerde*(1-E$5))/(PesoCuartoG/1000))))*MOEmpaqueCuarto+FleteLote+OtrosLote)</f>
        <v/>
      </c>
      <c r="F9" s="23">
        <f>((IF((PesoCuartoG/1000)=0,0,INT((KgVerde*(1-F$5))/(PesoCuartoG/1000))))*PrecioVentaCuarto)-(KgVerde*$A9+(IF(MaquilaSobre="Tostado",(KgVerde*(1-F$5)),KgVerde))*MaquilaKg+(ROUNDUP((IF((PesoCuartoG/1000)=0,0,INT((KgVerde*(1-F$5))/(PesoCuartoG/1000))))*(1+MermaEmpaque),0))*(PrecioBolsa+PrecioEtiqueta)+(IF((PesoCuartoG/1000)=0,0,INT((KgVerde*(1-F$5))/(PesoCuartoG/1000))))*MOEmpaqueCuarto+FleteLote+OtrosLote)</f>
        <v/>
      </c>
      <c r="G9" s="7" t="n"/>
      <c r="H9" s="7" t="n"/>
      <c r="I9" s="7" t="n"/>
      <c r="J9" s="7" t="n"/>
    </row>
    <row r="10">
      <c r="A10" s="85">
        <f>EscE</f>
        <v/>
      </c>
      <c r="B10" s="23">
        <f>((IF((PesoCuartoG/1000)=0,0,INT((KgVerde*(1-B$5))/(PesoCuartoG/1000))))*PrecioVentaCuarto)-(KgVerde*$A10+(IF(MaquilaSobre="Tostado",(KgVerde*(1-B$5)),KgVerde))*MaquilaKg+(ROUNDUP((IF((PesoCuartoG/1000)=0,0,INT((KgVerde*(1-B$5))/(PesoCuartoG/1000))))*(1+MermaEmpaque),0))*(PrecioBolsa+PrecioEtiqueta)+(IF((PesoCuartoG/1000)=0,0,INT((KgVerde*(1-B$5))/(PesoCuartoG/1000))))*MOEmpaqueCuarto+FleteLote+OtrosLote)</f>
        <v/>
      </c>
      <c r="C10" s="23">
        <f>((IF((PesoCuartoG/1000)=0,0,INT((KgVerde*(1-C$5))/(PesoCuartoG/1000))))*PrecioVentaCuarto)-(KgVerde*$A10+(IF(MaquilaSobre="Tostado",(KgVerde*(1-C$5)),KgVerde))*MaquilaKg+(ROUNDUP((IF((PesoCuartoG/1000)=0,0,INT((KgVerde*(1-C$5))/(PesoCuartoG/1000))))*(1+MermaEmpaque),0))*(PrecioBolsa+PrecioEtiqueta)+(IF((PesoCuartoG/1000)=0,0,INT((KgVerde*(1-C$5))/(PesoCuartoG/1000))))*MOEmpaqueCuarto+FleteLote+OtrosLote)</f>
        <v/>
      </c>
      <c r="D10" s="23">
        <f>((IF((PesoCuartoG/1000)=0,0,INT((KgVerde*(1-D$5))/(PesoCuartoG/1000))))*PrecioVentaCuarto)-(KgVerde*$A10+(IF(MaquilaSobre="Tostado",(KgVerde*(1-D$5)),KgVerde))*MaquilaKg+(ROUNDUP((IF((PesoCuartoG/1000)=0,0,INT((KgVerde*(1-D$5))/(PesoCuartoG/1000))))*(1+MermaEmpaque),0))*(PrecioBolsa+PrecioEtiqueta)+(IF((PesoCuartoG/1000)=0,0,INT((KgVerde*(1-D$5))/(PesoCuartoG/1000))))*MOEmpaqueCuarto+FleteLote+OtrosLote)</f>
        <v/>
      </c>
      <c r="E10" s="23">
        <f>((IF((PesoCuartoG/1000)=0,0,INT((KgVerde*(1-E$5))/(PesoCuartoG/1000))))*PrecioVentaCuarto)-(KgVerde*$A10+(IF(MaquilaSobre="Tostado",(KgVerde*(1-E$5)),KgVerde))*MaquilaKg+(ROUNDUP((IF((PesoCuartoG/1000)=0,0,INT((KgVerde*(1-E$5))/(PesoCuartoG/1000))))*(1+MermaEmpaque),0))*(PrecioBolsa+PrecioEtiqueta)+(IF((PesoCuartoG/1000)=0,0,INT((KgVerde*(1-E$5))/(PesoCuartoG/1000))))*MOEmpaqueCuarto+FleteLote+OtrosLote)</f>
        <v/>
      </c>
      <c r="F10" s="23">
        <f>((IF((PesoCuartoG/1000)=0,0,INT((KgVerde*(1-F$5))/(PesoCuartoG/1000))))*PrecioVentaCuarto)-(KgVerde*$A10+(IF(MaquilaSobre="Tostado",(KgVerde*(1-F$5)),KgVerde))*MaquilaKg+(ROUNDUP((IF((PesoCuartoG/1000)=0,0,INT((KgVerde*(1-F$5))/(PesoCuartoG/1000))))*(1+MermaEmpaque),0))*(PrecioBolsa+PrecioEtiqueta)+(IF((PesoCuartoG/1000)=0,0,INT((KgVerde*(1-F$5))/(PesoCuartoG/1000))))*MOEmpaqueCuarto+FleteLote+OtrosLote)</f>
        <v/>
      </c>
      <c r="G10" s="7" t="n"/>
      <c r="H10" s="7" t="n"/>
      <c r="I10" s="7" t="n"/>
      <c r="J10" s="7" t="n"/>
    </row>
    <row r="12" ht="20" customHeight="1">
      <c r="A12" s="5" t="inlineStr">
        <is>
          <t>2. Utilidad neta del lote: precio verde × costo de bolsa neta (la etiqueta se mantiene)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10" t="inlineStr">
        <is>
          <t>Verde \ Bolsa</t>
        </is>
      </c>
      <c r="B13" s="87" t="n">
        <v>0</v>
      </c>
      <c r="C13" s="87" t="n">
        <v>200</v>
      </c>
      <c r="D13" s="87" t="n">
        <v>300</v>
      </c>
      <c r="E13" s="87" t="n">
        <v>500</v>
      </c>
      <c r="F13" s="87" t="n">
        <v>700</v>
      </c>
      <c r="G13" s="88" t="inlineStr">
        <is>
          <t>0 = las pone Tostado Club. $700 ≈ Cafestore. $300 ≈ Funsmart a volumen.</t>
        </is>
      </c>
      <c r="H13" s="11" t="n"/>
      <c r="I13" s="11" t="n"/>
      <c r="J13" s="11" t="n"/>
    </row>
    <row r="14">
      <c r="A14" s="85">
        <f>EscA</f>
        <v/>
      </c>
      <c r="B14" s="23">
        <f>((IF((PesoCuartoG/1000)=0,0,INT((KgVerde*(1-MermaTostado))/(PesoCuartoG/1000))))*PrecioVentaCuarto)-(KgVerde*$A14+(IF(MaquilaSobre="Tostado",(KgVerde*(1-MermaTostado)),KgVerde))*MaquilaKg+(ROUNDUP((IF((PesoCuartoG/1000)=0,0,INT((KgVerde*(1-MermaTostado))/(PesoCuartoG/1000))))*(1+MermaEmpaque),0))*(B$13+PrecioEtiqueta)+(IF((PesoCuartoG/1000)=0,0,INT((KgVerde*(1-MermaTostado))/(PesoCuartoG/1000))))*MOEmpaqueCuarto+FleteLote+OtrosLote)</f>
        <v/>
      </c>
      <c r="C14" s="23">
        <f>((IF((PesoCuartoG/1000)=0,0,INT((KgVerde*(1-MermaTostado))/(PesoCuartoG/1000))))*PrecioVentaCuarto)-(KgVerde*$A14+(IF(MaquilaSobre="Tostado",(KgVerde*(1-MermaTostado)),KgVerde))*MaquilaKg+(ROUNDUP((IF((PesoCuartoG/1000)=0,0,INT((KgVerde*(1-MermaTostado))/(PesoCuartoG/1000))))*(1+MermaEmpaque),0))*(C$13+PrecioEtiqueta)+(IF((PesoCuartoG/1000)=0,0,INT((KgVerde*(1-MermaTostado))/(PesoCuartoG/1000))))*MOEmpaqueCuarto+FleteLote+OtrosLote)</f>
        <v/>
      </c>
      <c r="D14" s="23">
        <f>((IF((PesoCuartoG/1000)=0,0,INT((KgVerde*(1-MermaTostado))/(PesoCuartoG/1000))))*PrecioVentaCuarto)-(KgVerde*$A14+(IF(MaquilaSobre="Tostado",(KgVerde*(1-MermaTostado)),KgVerde))*MaquilaKg+(ROUNDUP((IF((PesoCuartoG/1000)=0,0,INT((KgVerde*(1-MermaTostado))/(PesoCuartoG/1000))))*(1+MermaEmpaque),0))*(D$13+PrecioEtiqueta)+(IF((PesoCuartoG/1000)=0,0,INT((KgVerde*(1-MermaTostado))/(PesoCuartoG/1000))))*MOEmpaqueCuarto+FleteLote+OtrosLote)</f>
        <v/>
      </c>
      <c r="E14" s="23">
        <f>((IF((PesoCuartoG/1000)=0,0,INT((KgVerde*(1-MermaTostado))/(PesoCuartoG/1000))))*PrecioVentaCuarto)-(KgVerde*$A14+(IF(MaquilaSobre="Tostado",(KgVerde*(1-MermaTostado)),KgVerde))*MaquilaKg+(ROUNDUP((IF((PesoCuartoG/1000)=0,0,INT((KgVerde*(1-MermaTostado))/(PesoCuartoG/1000))))*(1+MermaEmpaque),0))*(E$13+PrecioEtiqueta)+(IF((PesoCuartoG/1000)=0,0,INT((KgVerde*(1-MermaTostado))/(PesoCuartoG/1000))))*MOEmpaqueCuarto+FleteLote+OtrosLote)</f>
        <v/>
      </c>
      <c r="F14" s="23">
        <f>((IF((PesoCuartoG/1000)=0,0,INT((KgVerde*(1-MermaTostado))/(PesoCuartoG/1000))))*PrecioVentaCuarto)-(KgVerde*$A14+(IF(MaquilaSobre="Tostado",(KgVerde*(1-MermaTostado)),KgVerde))*MaquilaKg+(ROUNDUP((IF((PesoCuartoG/1000)=0,0,INT((KgVerde*(1-MermaTostado))/(PesoCuartoG/1000))))*(1+MermaEmpaque),0))*(F$13+PrecioEtiqueta)+(IF((PesoCuartoG/1000)=0,0,INT((KgVerde*(1-MermaTostado))/(PesoCuartoG/1000))))*MOEmpaqueCuarto+FleteLote+OtrosLote)</f>
        <v/>
      </c>
      <c r="G14" s="7" t="n"/>
      <c r="H14" s="7" t="n"/>
      <c r="I14" s="7" t="n"/>
      <c r="J14" s="7" t="n"/>
    </row>
    <row r="15">
      <c r="A15" s="85">
        <f>EscB</f>
        <v/>
      </c>
      <c r="B15" s="23">
        <f>((IF((PesoCuartoG/1000)=0,0,INT((KgVerde*(1-MermaTostado))/(PesoCuartoG/1000))))*PrecioVentaCuarto)-(KgVerde*$A15+(IF(MaquilaSobre="Tostado",(KgVerde*(1-MermaTostado)),KgVerde))*MaquilaKg+(ROUNDUP((IF((PesoCuartoG/1000)=0,0,INT((KgVerde*(1-MermaTostado))/(PesoCuartoG/1000))))*(1+MermaEmpaque),0))*(B$13+PrecioEtiqueta)+(IF((PesoCuartoG/1000)=0,0,INT((KgVerde*(1-MermaTostado))/(PesoCuartoG/1000))))*MOEmpaqueCuarto+FleteLote+OtrosLote)</f>
        <v/>
      </c>
      <c r="C15" s="23">
        <f>((IF((PesoCuartoG/1000)=0,0,INT((KgVerde*(1-MermaTostado))/(PesoCuartoG/1000))))*PrecioVentaCuarto)-(KgVerde*$A15+(IF(MaquilaSobre="Tostado",(KgVerde*(1-MermaTostado)),KgVerde))*MaquilaKg+(ROUNDUP((IF((PesoCuartoG/1000)=0,0,INT((KgVerde*(1-MermaTostado))/(PesoCuartoG/1000))))*(1+MermaEmpaque),0))*(C$13+PrecioEtiqueta)+(IF((PesoCuartoG/1000)=0,0,INT((KgVerde*(1-MermaTostado))/(PesoCuartoG/1000))))*MOEmpaqueCuarto+FleteLote+OtrosLote)</f>
        <v/>
      </c>
      <c r="D15" s="23">
        <f>((IF((PesoCuartoG/1000)=0,0,INT((KgVerde*(1-MermaTostado))/(PesoCuartoG/1000))))*PrecioVentaCuarto)-(KgVerde*$A15+(IF(MaquilaSobre="Tostado",(KgVerde*(1-MermaTostado)),KgVerde))*MaquilaKg+(ROUNDUP((IF((PesoCuartoG/1000)=0,0,INT((KgVerde*(1-MermaTostado))/(PesoCuartoG/1000))))*(1+MermaEmpaque),0))*(D$13+PrecioEtiqueta)+(IF((PesoCuartoG/1000)=0,0,INT((KgVerde*(1-MermaTostado))/(PesoCuartoG/1000))))*MOEmpaqueCuarto+FleteLote+OtrosLote)</f>
        <v/>
      </c>
      <c r="E15" s="23">
        <f>((IF((PesoCuartoG/1000)=0,0,INT((KgVerde*(1-MermaTostado))/(PesoCuartoG/1000))))*PrecioVentaCuarto)-(KgVerde*$A15+(IF(MaquilaSobre="Tostado",(KgVerde*(1-MermaTostado)),KgVerde))*MaquilaKg+(ROUNDUP((IF((PesoCuartoG/1000)=0,0,INT((KgVerde*(1-MermaTostado))/(PesoCuartoG/1000))))*(1+MermaEmpaque),0))*(E$13+PrecioEtiqueta)+(IF((PesoCuartoG/1000)=0,0,INT((KgVerde*(1-MermaTostado))/(PesoCuartoG/1000))))*MOEmpaqueCuarto+FleteLote+OtrosLote)</f>
        <v/>
      </c>
      <c r="F15" s="23">
        <f>((IF((PesoCuartoG/1000)=0,0,INT((KgVerde*(1-MermaTostado))/(PesoCuartoG/1000))))*PrecioVentaCuarto)-(KgVerde*$A15+(IF(MaquilaSobre="Tostado",(KgVerde*(1-MermaTostado)),KgVerde))*MaquilaKg+(ROUNDUP((IF((PesoCuartoG/1000)=0,0,INT((KgVerde*(1-MermaTostado))/(PesoCuartoG/1000))))*(1+MermaEmpaque),0))*(F$13+PrecioEtiqueta)+(IF((PesoCuartoG/1000)=0,0,INT((KgVerde*(1-MermaTostado))/(PesoCuartoG/1000))))*MOEmpaqueCuarto+FleteLote+OtrosLote)</f>
        <v/>
      </c>
      <c r="G15" s="7" t="n"/>
      <c r="H15" s="7" t="n"/>
      <c r="I15" s="7" t="n"/>
      <c r="J15" s="7" t="n"/>
    </row>
    <row r="16">
      <c r="A16" s="85">
        <f>EscC</f>
        <v/>
      </c>
      <c r="B16" s="23">
        <f>((IF((PesoCuartoG/1000)=0,0,INT((KgVerde*(1-MermaTostado))/(PesoCuartoG/1000))))*PrecioVentaCuarto)-(KgVerde*$A16+(IF(MaquilaSobre="Tostado",(KgVerde*(1-MermaTostado)),KgVerde))*MaquilaKg+(ROUNDUP((IF((PesoCuartoG/1000)=0,0,INT((KgVerde*(1-MermaTostado))/(PesoCuartoG/1000))))*(1+MermaEmpaque),0))*(B$13+PrecioEtiqueta)+(IF((PesoCuartoG/1000)=0,0,INT((KgVerde*(1-MermaTostado))/(PesoCuartoG/1000))))*MOEmpaqueCuarto+FleteLote+OtrosLote)</f>
        <v/>
      </c>
      <c r="C16" s="23">
        <f>((IF((PesoCuartoG/1000)=0,0,INT((KgVerde*(1-MermaTostado))/(PesoCuartoG/1000))))*PrecioVentaCuarto)-(KgVerde*$A16+(IF(MaquilaSobre="Tostado",(KgVerde*(1-MermaTostado)),KgVerde))*MaquilaKg+(ROUNDUP((IF((PesoCuartoG/1000)=0,0,INT((KgVerde*(1-MermaTostado))/(PesoCuartoG/1000))))*(1+MermaEmpaque),0))*(C$13+PrecioEtiqueta)+(IF((PesoCuartoG/1000)=0,0,INT((KgVerde*(1-MermaTostado))/(PesoCuartoG/1000))))*MOEmpaqueCuarto+FleteLote+OtrosLote)</f>
        <v/>
      </c>
      <c r="D16" s="23">
        <f>((IF((PesoCuartoG/1000)=0,0,INT((KgVerde*(1-MermaTostado))/(PesoCuartoG/1000))))*PrecioVentaCuarto)-(KgVerde*$A16+(IF(MaquilaSobre="Tostado",(KgVerde*(1-MermaTostado)),KgVerde))*MaquilaKg+(ROUNDUP((IF((PesoCuartoG/1000)=0,0,INT((KgVerde*(1-MermaTostado))/(PesoCuartoG/1000))))*(1+MermaEmpaque),0))*(D$13+PrecioEtiqueta)+(IF((PesoCuartoG/1000)=0,0,INT((KgVerde*(1-MermaTostado))/(PesoCuartoG/1000))))*MOEmpaqueCuarto+FleteLote+OtrosLote)</f>
        <v/>
      </c>
      <c r="E16" s="23">
        <f>((IF((PesoCuartoG/1000)=0,0,INT((KgVerde*(1-MermaTostado))/(PesoCuartoG/1000))))*PrecioVentaCuarto)-(KgVerde*$A16+(IF(MaquilaSobre="Tostado",(KgVerde*(1-MermaTostado)),KgVerde))*MaquilaKg+(ROUNDUP((IF((PesoCuartoG/1000)=0,0,INT((KgVerde*(1-MermaTostado))/(PesoCuartoG/1000))))*(1+MermaEmpaque),0))*(E$13+PrecioEtiqueta)+(IF((PesoCuartoG/1000)=0,0,INT((KgVerde*(1-MermaTostado))/(PesoCuartoG/1000))))*MOEmpaqueCuarto+FleteLote+OtrosLote)</f>
        <v/>
      </c>
      <c r="F16" s="23">
        <f>((IF((PesoCuartoG/1000)=0,0,INT((KgVerde*(1-MermaTostado))/(PesoCuartoG/1000))))*PrecioVentaCuarto)-(KgVerde*$A16+(IF(MaquilaSobre="Tostado",(KgVerde*(1-MermaTostado)),KgVerde))*MaquilaKg+(ROUNDUP((IF((PesoCuartoG/1000)=0,0,INT((KgVerde*(1-MermaTostado))/(PesoCuartoG/1000))))*(1+MermaEmpaque),0))*(F$13+PrecioEtiqueta)+(IF((PesoCuartoG/1000)=0,0,INT((KgVerde*(1-MermaTostado))/(PesoCuartoG/1000))))*MOEmpaqueCuarto+FleteLote+OtrosLote)</f>
        <v/>
      </c>
      <c r="G16" s="7" t="n"/>
      <c r="H16" s="7" t="n"/>
      <c r="I16" s="7" t="n"/>
      <c r="J16" s="7" t="n"/>
    </row>
    <row r="17">
      <c r="A17" s="85">
        <f>EscD</f>
        <v/>
      </c>
      <c r="B17" s="23">
        <f>((IF((PesoCuartoG/1000)=0,0,INT((KgVerde*(1-MermaTostado))/(PesoCuartoG/1000))))*PrecioVentaCuarto)-(KgVerde*$A17+(IF(MaquilaSobre="Tostado",(KgVerde*(1-MermaTostado)),KgVerde))*MaquilaKg+(ROUNDUP((IF((PesoCuartoG/1000)=0,0,INT((KgVerde*(1-MermaTostado))/(PesoCuartoG/1000))))*(1+MermaEmpaque),0))*(B$13+PrecioEtiqueta)+(IF((PesoCuartoG/1000)=0,0,INT((KgVerde*(1-MermaTostado))/(PesoCuartoG/1000))))*MOEmpaqueCuarto+FleteLote+OtrosLote)</f>
        <v/>
      </c>
      <c r="C17" s="23">
        <f>((IF((PesoCuartoG/1000)=0,0,INT((KgVerde*(1-MermaTostado))/(PesoCuartoG/1000))))*PrecioVentaCuarto)-(KgVerde*$A17+(IF(MaquilaSobre="Tostado",(KgVerde*(1-MermaTostado)),KgVerde))*MaquilaKg+(ROUNDUP((IF((PesoCuartoG/1000)=0,0,INT((KgVerde*(1-MermaTostado))/(PesoCuartoG/1000))))*(1+MermaEmpaque),0))*(C$13+PrecioEtiqueta)+(IF((PesoCuartoG/1000)=0,0,INT((KgVerde*(1-MermaTostado))/(PesoCuartoG/1000))))*MOEmpaqueCuarto+FleteLote+OtrosLote)</f>
        <v/>
      </c>
      <c r="D17" s="23">
        <f>((IF((PesoCuartoG/1000)=0,0,INT((KgVerde*(1-MermaTostado))/(PesoCuartoG/1000))))*PrecioVentaCuarto)-(KgVerde*$A17+(IF(MaquilaSobre="Tostado",(KgVerde*(1-MermaTostado)),KgVerde))*MaquilaKg+(ROUNDUP((IF((PesoCuartoG/1000)=0,0,INT((KgVerde*(1-MermaTostado))/(PesoCuartoG/1000))))*(1+MermaEmpaque),0))*(D$13+PrecioEtiqueta)+(IF((PesoCuartoG/1000)=0,0,INT((KgVerde*(1-MermaTostado))/(PesoCuartoG/1000))))*MOEmpaqueCuarto+FleteLote+OtrosLote)</f>
        <v/>
      </c>
      <c r="E17" s="23">
        <f>((IF((PesoCuartoG/1000)=0,0,INT((KgVerde*(1-MermaTostado))/(PesoCuartoG/1000))))*PrecioVentaCuarto)-(KgVerde*$A17+(IF(MaquilaSobre="Tostado",(KgVerde*(1-MermaTostado)),KgVerde))*MaquilaKg+(ROUNDUP((IF((PesoCuartoG/1000)=0,0,INT((KgVerde*(1-MermaTostado))/(PesoCuartoG/1000))))*(1+MermaEmpaque),0))*(E$13+PrecioEtiqueta)+(IF((PesoCuartoG/1000)=0,0,INT((KgVerde*(1-MermaTostado))/(PesoCuartoG/1000))))*MOEmpaqueCuarto+FleteLote+OtrosLote)</f>
        <v/>
      </c>
      <c r="F17" s="23">
        <f>((IF((PesoCuartoG/1000)=0,0,INT((KgVerde*(1-MermaTostado))/(PesoCuartoG/1000))))*PrecioVentaCuarto)-(KgVerde*$A17+(IF(MaquilaSobre="Tostado",(KgVerde*(1-MermaTostado)),KgVerde))*MaquilaKg+(ROUNDUP((IF((PesoCuartoG/1000)=0,0,INT((KgVerde*(1-MermaTostado))/(PesoCuartoG/1000))))*(1+MermaEmpaque),0))*(F$13+PrecioEtiqueta)+(IF((PesoCuartoG/1000)=0,0,INT((KgVerde*(1-MermaTostado))/(PesoCuartoG/1000))))*MOEmpaqueCuarto+FleteLote+OtrosLote)</f>
        <v/>
      </c>
      <c r="G17" s="7" t="n"/>
      <c r="H17" s="7" t="n"/>
      <c r="I17" s="7" t="n"/>
      <c r="J17" s="7" t="n"/>
    </row>
    <row r="18">
      <c r="A18" s="85">
        <f>EscE</f>
        <v/>
      </c>
      <c r="B18" s="23">
        <f>((IF((PesoCuartoG/1000)=0,0,INT((KgVerde*(1-MermaTostado))/(PesoCuartoG/1000))))*PrecioVentaCuarto)-(KgVerde*$A18+(IF(MaquilaSobre="Tostado",(KgVerde*(1-MermaTostado)),KgVerde))*MaquilaKg+(ROUNDUP((IF((PesoCuartoG/1000)=0,0,INT((KgVerde*(1-MermaTostado))/(PesoCuartoG/1000))))*(1+MermaEmpaque),0))*(B$13+PrecioEtiqueta)+(IF((PesoCuartoG/1000)=0,0,INT((KgVerde*(1-MermaTostado))/(PesoCuartoG/1000))))*MOEmpaqueCuarto+FleteLote+OtrosLote)</f>
        <v/>
      </c>
      <c r="C18" s="23">
        <f>((IF((PesoCuartoG/1000)=0,0,INT((KgVerde*(1-MermaTostado))/(PesoCuartoG/1000))))*PrecioVentaCuarto)-(KgVerde*$A18+(IF(MaquilaSobre="Tostado",(KgVerde*(1-MermaTostado)),KgVerde))*MaquilaKg+(ROUNDUP((IF((PesoCuartoG/1000)=0,0,INT((KgVerde*(1-MermaTostado))/(PesoCuartoG/1000))))*(1+MermaEmpaque),0))*(C$13+PrecioEtiqueta)+(IF((PesoCuartoG/1000)=0,0,INT((KgVerde*(1-MermaTostado))/(PesoCuartoG/1000))))*MOEmpaqueCuarto+FleteLote+OtrosLote)</f>
        <v/>
      </c>
      <c r="D18" s="23">
        <f>((IF((PesoCuartoG/1000)=0,0,INT((KgVerde*(1-MermaTostado))/(PesoCuartoG/1000))))*PrecioVentaCuarto)-(KgVerde*$A18+(IF(MaquilaSobre="Tostado",(KgVerde*(1-MermaTostado)),KgVerde))*MaquilaKg+(ROUNDUP((IF((PesoCuartoG/1000)=0,0,INT((KgVerde*(1-MermaTostado))/(PesoCuartoG/1000))))*(1+MermaEmpaque),0))*(D$13+PrecioEtiqueta)+(IF((PesoCuartoG/1000)=0,0,INT((KgVerde*(1-MermaTostado))/(PesoCuartoG/1000))))*MOEmpaqueCuarto+FleteLote+OtrosLote)</f>
        <v/>
      </c>
      <c r="E18" s="23">
        <f>((IF((PesoCuartoG/1000)=0,0,INT((KgVerde*(1-MermaTostado))/(PesoCuartoG/1000))))*PrecioVentaCuarto)-(KgVerde*$A18+(IF(MaquilaSobre="Tostado",(KgVerde*(1-MermaTostado)),KgVerde))*MaquilaKg+(ROUNDUP((IF((PesoCuartoG/1000)=0,0,INT((KgVerde*(1-MermaTostado))/(PesoCuartoG/1000))))*(1+MermaEmpaque),0))*(E$13+PrecioEtiqueta)+(IF((PesoCuartoG/1000)=0,0,INT((KgVerde*(1-MermaTostado))/(PesoCuartoG/1000))))*MOEmpaqueCuarto+FleteLote+OtrosLote)</f>
        <v/>
      </c>
      <c r="F18" s="23">
        <f>((IF((PesoCuartoG/1000)=0,0,INT((KgVerde*(1-MermaTostado))/(PesoCuartoG/1000))))*PrecioVentaCuarto)-(KgVerde*$A18+(IF(MaquilaSobre="Tostado",(KgVerde*(1-MermaTostado)),KgVerde))*MaquilaKg+(ROUNDUP((IF((PesoCuartoG/1000)=0,0,INT((KgVerde*(1-MermaTostado))/(PesoCuartoG/1000))))*(1+MermaEmpaque),0))*(F$13+PrecioEtiqueta)+(IF((PesoCuartoG/1000)=0,0,INT((KgVerde*(1-MermaTostado))/(PesoCuartoG/1000))))*MOEmpaqueCuarto+FleteLote+OtrosLote)</f>
        <v/>
      </c>
      <c r="G18" s="7" t="n"/>
      <c r="H18" s="7" t="n"/>
      <c r="I18" s="7" t="n"/>
      <c r="J18" s="7" t="n"/>
    </row>
    <row r="20" ht="20" customHeight="1">
      <c r="A20" s="5" t="inlineStr">
        <is>
          <t>3. Margen neto: precio verde × precio de venta del cuarto (si negocias otro precio con Tostado Club)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10" t="inlineStr">
        <is>
          <t>Verde \ Venta</t>
        </is>
      </c>
      <c r="B21" s="87" t="n">
        <v>5000</v>
      </c>
      <c r="C21" s="87" t="n">
        <v>5500</v>
      </c>
      <c r="D21" s="87" t="n">
        <v>6000</v>
      </c>
      <c r="E21" s="87" t="n">
        <v>6500</v>
      </c>
      <c r="F21" s="87" t="n">
        <v>7000</v>
      </c>
      <c r="G21" s="89" t="inlineStr">
        <is>
          <t>Hoy estás en $6.000. Útil si pides alza o te bajan el precio.</t>
        </is>
      </c>
      <c r="H21" s="11" t="n"/>
      <c r="I21" s="11" t="n"/>
      <c r="J21" s="11" t="n"/>
    </row>
    <row r="22">
      <c r="A22" s="85">
        <f>EscA</f>
        <v/>
      </c>
      <c r="B22" s="24">
        <f>IF(((IF((PesoCuartoG/1000)=0,0,INT((KgVerde*(1-MermaTostado))/(PesoCuartoG/1000))))*B$21)=0,0,(((IF((PesoCuartoG/1000)=0,0,INT((KgVerde*(1-MermaTostado))/(PesoCuartoG/1000))))*B$21)-(KgVerde*$A22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B$21))</f>
        <v/>
      </c>
      <c r="C22" s="24">
        <f>IF(((IF((PesoCuartoG/1000)=0,0,INT((KgVerde*(1-MermaTostado))/(PesoCuartoG/1000))))*C$21)=0,0,(((IF((PesoCuartoG/1000)=0,0,INT((KgVerde*(1-MermaTostado))/(PesoCuartoG/1000))))*C$21)-(KgVerde*$A22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C$21))</f>
        <v/>
      </c>
      <c r="D22" s="24">
        <f>IF(((IF((PesoCuartoG/1000)=0,0,INT((KgVerde*(1-MermaTostado))/(PesoCuartoG/1000))))*D$21)=0,0,(((IF((PesoCuartoG/1000)=0,0,INT((KgVerde*(1-MermaTostado))/(PesoCuartoG/1000))))*D$21)-(KgVerde*$A22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D$21))</f>
        <v/>
      </c>
      <c r="E22" s="24">
        <f>IF(((IF((PesoCuartoG/1000)=0,0,INT((KgVerde*(1-MermaTostado))/(PesoCuartoG/1000))))*E$21)=0,0,(((IF((PesoCuartoG/1000)=0,0,INT((KgVerde*(1-MermaTostado))/(PesoCuartoG/1000))))*E$21)-(KgVerde*$A22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E$21))</f>
        <v/>
      </c>
      <c r="F22" s="24">
        <f>IF(((IF((PesoCuartoG/1000)=0,0,INT((KgVerde*(1-MermaTostado))/(PesoCuartoG/1000))))*F$21)=0,0,(((IF((PesoCuartoG/1000)=0,0,INT((KgVerde*(1-MermaTostado))/(PesoCuartoG/1000))))*F$21)-(KgVerde*$A22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F$21))</f>
        <v/>
      </c>
      <c r="G22" s="7" t="n"/>
      <c r="H22" s="7" t="n"/>
      <c r="I22" s="7" t="n"/>
      <c r="J22" s="7" t="n"/>
    </row>
    <row r="23">
      <c r="A23" s="85">
        <f>EscB</f>
        <v/>
      </c>
      <c r="B23" s="24">
        <f>IF(((IF((PesoCuartoG/1000)=0,0,INT((KgVerde*(1-MermaTostado))/(PesoCuartoG/1000))))*B$21)=0,0,(((IF((PesoCuartoG/1000)=0,0,INT((KgVerde*(1-MermaTostado))/(PesoCuartoG/1000))))*B$21)-(KgVerde*$A23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B$21))</f>
        <v/>
      </c>
      <c r="C23" s="24">
        <f>IF(((IF((PesoCuartoG/1000)=0,0,INT((KgVerde*(1-MermaTostado))/(PesoCuartoG/1000))))*C$21)=0,0,(((IF((PesoCuartoG/1000)=0,0,INT((KgVerde*(1-MermaTostado))/(PesoCuartoG/1000))))*C$21)-(KgVerde*$A23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C$21))</f>
        <v/>
      </c>
      <c r="D23" s="24">
        <f>IF(((IF((PesoCuartoG/1000)=0,0,INT((KgVerde*(1-MermaTostado))/(PesoCuartoG/1000))))*D$21)=0,0,(((IF((PesoCuartoG/1000)=0,0,INT((KgVerde*(1-MermaTostado))/(PesoCuartoG/1000))))*D$21)-(KgVerde*$A23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D$21))</f>
        <v/>
      </c>
      <c r="E23" s="24">
        <f>IF(((IF((PesoCuartoG/1000)=0,0,INT((KgVerde*(1-MermaTostado))/(PesoCuartoG/1000))))*E$21)=0,0,(((IF((PesoCuartoG/1000)=0,0,INT((KgVerde*(1-MermaTostado))/(PesoCuartoG/1000))))*E$21)-(KgVerde*$A23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E$21))</f>
        <v/>
      </c>
      <c r="F23" s="24">
        <f>IF(((IF((PesoCuartoG/1000)=0,0,INT((KgVerde*(1-MermaTostado))/(PesoCuartoG/1000))))*F$21)=0,0,(((IF((PesoCuartoG/1000)=0,0,INT((KgVerde*(1-MermaTostado))/(PesoCuartoG/1000))))*F$21)-(KgVerde*$A23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F$21))</f>
        <v/>
      </c>
      <c r="G23" s="7" t="n"/>
      <c r="H23" s="7" t="n"/>
      <c r="I23" s="7" t="n"/>
      <c r="J23" s="7" t="n"/>
    </row>
    <row r="24">
      <c r="A24" s="85">
        <f>EscC</f>
        <v/>
      </c>
      <c r="B24" s="24">
        <f>IF(((IF((PesoCuartoG/1000)=0,0,INT((KgVerde*(1-MermaTostado))/(PesoCuartoG/1000))))*B$21)=0,0,(((IF((PesoCuartoG/1000)=0,0,INT((KgVerde*(1-MermaTostado))/(PesoCuartoG/1000))))*B$21)-(KgVerde*$A24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B$21))</f>
        <v/>
      </c>
      <c r="C24" s="24">
        <f>IF(((IF((PesoCuartoG/1000)=0,0,INT((KgVerde*(1-MermaTostado))/(PesoCuartoG/1000))))*C$21)=0,0,(((IF((PesoCuartoG/1000)=0,0,INT((KgVerde*(1-MermaTostado))/(PesoCuartoG/1000))))*C$21)-(KgVerde*$A24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C$21))</f>
        <v/>
      </c>
      <c r="D24" s="24">
        <f>IF(((IF((PesoCuartoG/1000)=0,0,INT((KgVerde*(1-MermaTostado))/(PesoCuartoG/1000))))*D$21)=0,0,(((IF((PesoCuartoG/1000)=0,0,INT((KgVerde*(1-MermaTostado))/(PesoCuartoG/1000))))*D$21)-(KgVerde*$A24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D$21))</f>
        <v/>
      </c>
      <c r="E24" s="24">
        <f>IF(((IF((PesoCuartoG/1000)=0,0,INT((KgVerde*(1-MermaTostado))/(PesoCuartoG/1000))))*E$21)=0,0,(((IF((PesoCuartoG/1000)=0,0,INT((KgVerde*(1-MermaTostado))/(PesoCuartoG/1000))))*E$21)-(KgVerde*$A24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E$21))</f>
        <v/>
      </c>
      <c r="F24" s="24">
        <f>IF(((IF((PesoCuartoG/1000)=0,0,INT((KgVerde*(1-MermaTostado))/(PesoCuartoG/1000))))*F$21)=0,0,(((IF((PesoCuartoG/1000)=0,0,INT((KgVerde*(1-MermaTostado))/(PesoCuartoG/1000))))*F$21)-(KgVerde*$A24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F$21))</f>
        <v/>
      </c>
      <c r="G24" s="7" t="n"/>
      <c r="H24" s="7" t="n"/>
      <c r="I24" s="7" t="n"/>
      <c r="J24" s="7" t="n"/>
    </row>
    <row r="25">
      <c r="A25" s="85">
        <f>EscD</f>
        <v/>
      </c>
      <c r="B25" s="24">
        <f>IF(((IF((PesoCuartoG/1000)=0,0,INT((KgVerde*(1-MermaTostado))/(PesoCuartoG/1000))))*B$21)=0,0,(((IF((PesoCuartoG/1000)=0,0,INT((KgVerde*(1-MermaTostado))/(PesoCuartoG/1000))))*B$21)-(KgVerde*$A25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B$21))</f>
        <v/>
      </c>
      <c r="C25" s="24">
        <f>IF(((IF((PesoCuartoG/1000)=0,0,INT((KgVerde*(1-MermaTostado))/(PesoCuartoG/1000))))*C$21)=0,0,(((IF((PesoCuartoG/1000)=0,0,INT((KgVerde*(1-MermaTostado))/(PesoCuartoG/1000))))*C$21)-(KgVerde*$A25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C$21))</f>
        <v/>
      </c>
      <c r="D25" s="24">
        <f>IF(((IF((PesoCuartoG/1000)=0,0,INT((KgVerde*(1-MermaTostado))/(PesoCuartoG/1000))))*D$21)=0,0,(((IF((PesoCuartoG/1000)=0,0,INT((KgVerde*(1-MermaTostado))/(PesoCuartoG/1000))))*D$21)-(KgVerde*$A25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D$21))</f>
        <v/>
      </c>
      <c r="E25" s="24">
        <f>IF(((IF((PesoCuartoG/1000)=0,0,INT((KgVerde*(1-MermaTostado))/(PesoCuartoG/1000))))*E$21)=0,0,(((IF((PesoCuartoG/1000)=0,0,INT((KgVerde*(1-MermaTostado))/(PesoCuartoG/1000))))*E$21)-(KgVerde*$A25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E$21))</f>
        <v/>
      </c>
      <c r="F25" s="24">
        <f>IF(((IF((PesoCuartoG/1000)=0,0,INT((KgVerde*(1-MermaTostado))/(PesoCuartoG/1000))))*F$21)=0,0,(((IF((PesoCuartoG/1000)=0,0,INT((KgVerde*(1-MermaTostado))/(PesoCuartoG/1000))))*F$21)-(KgVerde*$A25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F$21))</f>
        <v/>
      </c>
      <c r="G25" s="7" t="n"/>
      <c r="H25" s="7" t="n"/>
      <c r="I25" s="7" t="n"/>
      <c r="J25" s="7" t="n"/>
    </row>
    <row r="26">
      <c r="A26" s="85">
        <f>EscE</f>
        <v/>
      </c>
      <c r="B26" s="24">
        <f>IF(((IF((PesoCuartoG/1000)=0,0,INT((KgVerde*(1-MermaTostado))/(PesoCuartoG/1000))))*B$21)=0,0,(((IF((PesoCuartoG/1000)=0,0,INT((KgVerde*(1-MermaTostado))/(PesoCuartoG/1000))))*B$21)-(KgVerde*$A26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B$21))</f>
        <v/>
      </c>
      <c r="C26" s="24">
        <f>IF(((IF((PesoCuartoG/1000)=0,0,INT((KgVerde*(1-MermaTostado))/(PesoCuartoG/1000))))*C$21)=0,0,(((IF((PesoCuartoG/1000)=0,0,INT((KgVerde*(1-MermaTostado))/(PesoCuartoG/1000))))*C$21)-(KgVerde*$A26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C$21))</f>
        <v/>
      </c>
      <c r="D26" s="24">
        <f>IF(((IF((PesoCuartoG/1000)=0,0,INT((KgVerde*(1-MermaTostado))/(PesoCuartoG/1000))))*D$21)=0,0,(((IF((PesoCuartoG/1000)=0,0,INT((KgVerde*(1-MermaTostado))/(PesoCuartoG/1000))))*D$21)-(KgVerde*$A26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D$21))</f>
        <v/>
      </c>
      <c r="E26" s="24">
        <f>IF(((IF((PesoCuartoG/1000)=0,0,INT((KgVerde*(1-MermaTostado))/(PesoCuartoG/1000))))*E$21)=0,0,(((IF((PesoCuartoG/1000)=0,0,INT((KgVerde*(1-MermaTostado))/(PesoCuartoG/1000))))*E$21)-(KgVerde*$A26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E$21))</f>
        <v/>
      </c>
      <c r="F26" s="24">
        <f>IF(((IF((PesoCuartoG/1000)=0,0,INT((KgVerde*(1-MermaTostado))/(PesoCuartoG/1000))))*F$21)=0,0,(((IF((PesoCuartoG/1000)=0,0,INT((KgVerde*(1-MermaTostado))/(PesoCuartoG/1000))))*F$21)-(KgVerde*$A26+(IF(MaquilaSobre="Tostado",(KgVerde*(1-MermaTostado)),KgVerde))*MaquilaKg+(ROUNDUP((IF((PesoCuartoG/1000)=0,0,INT((KgVerde*(1-MermaTostado))/(PesoCuartoG/1000))))*(1+MermaEmpaque),0))*(PrecioBolsa+PrecioEtiqueta)+(IF((PesoCuartoG/1000)=0,0,INT((KgVerde*(1-MermaTostado))/(PesoCuartoG/1000))))*MOEmpaqueCuarto+FleteLote+OtrosLote))/((IF((PesoCuartoG/1000)=0,0,INT((KgVerde*(1-MermaTostado))/(PesoCuartoG/1000))))*F$21))</f>
        <v/>
      </c>
      <c r="G26" s="7" t="n"/>
      <c r="H26" s="7" t="n"/>
      <c r="I26" s="7" t="n"/>
      <c r="J26" s="7" t="n"/>
    </row>
    <row r="28">
      <c r="A28" s="62" t="inlineStr">
        <is>
          <t>Qué no está modelado (y puede mover el número): merma de calidad / quiebre, molienda, cajas master, financiamiento si Tostado Club paga a 30/60 días, mermas de inventario, y tu tiempo de coordinación. Si el primer lote real da otra merma, cámbiala en Parámetros y estas tablas se actualizan.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</sheetData>
  <mergeCells count="24">
    <mergeCell ref="G26:J26"/>
    <mergeCell ref="A4:J4"/>
    <mergeCell ref="G16:J16"/>
    <mergeCell ref="A20:J20"/>
    <mergeCell ref="G25:J25"/>
    <mergeCell ref="G22:J22"/>
    <mergeCell ref="G9:J9"/>
    <mergeCell ref="G21:J21"/>
    <mergeCell ref="A28:J30"/>
    <mergeCell ref="A1:J1"/>
    <mergeCell ref="G17:J17"/>
    <mergeCell ref="G23:J23"/>
    <mergeCell ref="G8:J8"/>
    <mergeCell ref="G7:J7"/>
    <mergeCell ref="G10:J10"/>
    <mergeCell ref="G6:J6"/>
    <mergeCell ref="G13:J13"/>
    <mergeCell ref="G18:J18"/>
    <mergeCell ref="A12:J12"/>
    <mergeCell ref="G24:J24"/>
    <mergeCell ref="G15:J15"/>
    <mergeCell ref="A2:J2"/>
    <mergeCell ref="G5:J5"/>
    <mergeCell ref="G14:J14"/>
  </mergeCells>
  <conditionalFormatting sqref="B6:F10">
    <cfRule type="colorScale" priority="1">
      <colorScale>
        <cfvo type="min"/>
        <cfvo type="percentile" val="50"/>
        <cfvo type="max"/>
        <color rgb="00F5B7B1"/>
        <color rgb="00F9E79F"/>
        <color rgb="0082E0AA"/>
      </colorScale>
    </cfRule>
    <cfRule type="cellIs" priority="2" operator="lessThan" dxfId="3">
      <formula>0</formula>
    </cfRule>
  </conditionalFormatting>
  <conditionalFormatting sqref="B14:F18">
    <cfRule type="colorScale" priority="3">
      <colorScale>
        <cfvo type="min"/>
        <cfvo type="percentile" val="50"/>
        <cfvo type="max"/>
        <color rgb="00F5B7B1"/>
        <color rgb="00F9E79F"/>
        <color rgb="0082E0AA"/>
      </colorScale>
    </cfRule>
  </conditionalFormatting>
  <conditionalFormatting sqref="B22:F26">
    <cfRule type="colorScale" priority="4">
      <colorScale>
        <cfvo type="min"/>
        <cfvo type="percentile" val="50"/>
        <cfvo type="max"/>
        <color rgb="00F5B7B1"/>
        <color rgb="00F9E79F"/>
        <color rgb="0082E0AA"/>
      </colorScale>
    </cfRule>
    <cfRule type="cellIs" priority="5" operator="lessThan" dxfId="6">
      <formula>MargenObjetivo</formula>
    </cfRule>
  </conditionalFormatting>
  <pageMargins left="0.75" right="0.75" top="1" bottom="1" header="0.5" footer="0.5"/>
  <pageSetup orientation="landscape" paperSize="3" fitToHeight="1" fitToWidth="1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KgTostado</t>
        </is>
      </c>
      <c r="B2">
        <f>KgVerde*(1-MermaTostado)</f>
        <v/>
      </c>
    </row>
    <row r="3">
      <c r="A3" t="inlineStr">
        <is>
          <t>KgPorCuarto</t>
        </is>
      </c>
      <c r="B3">
        <f>PesoCuartoG/1000</f>
        <v/>
      </c>
    </row>
    <row r="4">
      <c r="A4" t="inlineStr">
        <is>
          <t>Cuartos</t>
        </is>
      </c>
      <c r="B4">
        <f>IF(B3=0,0,INT(B2/B3))</f>
        <v/>
      </c>
    </row>
    <row r="5">
      <c r="A5" t="inlineStr">
        <is>
          <t>SobranteG</t>
        </is>
      </c>
      <c r="B5">
        <f>(B2-B4*B3)*1000</f>
        <v/>
      </c>
    </row>
    <row r="6">
      <c r="A6" t="inlineStr">
        <is>
          <t>Bolsas</t>
        </is>
      </c>
      <c r="B6">
        <f>ROUNDUP(B4*(1+MermaEmpaque),0)</f>
        <v/>
      </c>
    </row>
    <row r="7">
      <c r="A7" t="inlineStr">
        <is>
          <t>KgMaquila</t>
        </is>
      </c>
      <c r="B7">
        <f>IF(MaquilaSobre="Tostado",B2,KgVerde)</f>
        <v/>
      </c>
    </row>
    <row r="9">
      <c r="A9" t="inlineStr">
        <is>
          <t>CostoVerde</t>
        </is>
      </c>
      <c r="B9">
        <f>KgVerde*PrecioVerdeBase</f>
        <v/>
      </c>
    </row>
    <row r="10">
      <c r="A10" t="inlineStr">
        <is>
          <t>CostoMaquila</t>
        </is>
      </c>
      <c r="B10">
        <f>B7*MaquilaKg</f>
        <v/>
      </c>
    </row>
    <row r="11">
      <c r="A11" t="inlineStr">
        <is>
          <t>CostoBolsas</t>
        </is>
      </c>
      <c r="B11">
        <f>B6*PrecioBolsa</f>
        <v/>
      </c>
    </row>
    <row r="12">
      <c r="A12" t="inlineStr">
        <is>
          <t>CostoEtiquetas</t>
        </is>
      </c>
      <c r="B12">
        <f>B6*PrecioEtiqueta</f>
        <v/>
      </c>
    </row>
    <row r="13">
      <c r="A13" t="inlineStr">
        <is>
          <t>CostoMO</t>
        </is>
      </c>
      <c r="B13">
        <f>B4*MOEmpaqueCuarto</f>
        <v/>
      </c>
    </row>
    <row r="14">
      <c r="A14" t="inlineStr">
        <is>
          <t>CostoFlete</t>
        </is>
      </c>
      <c r="B14">
        <f>FleteLote</f>
        <v/>
      </c>
    </row>
    <row r="15">
      <c r="A15" t="inlineStr">
        <is>
          <t>CostoOtros</t>
        </is>
      </c>
      <c r="B15">
        <f>OtrosLote</f>
        <v/>
      </c>
    </row>
    <row r="16">
      <c r="A16" t="inlineStr">
        <is>
          <t>CostoTotal</t>
        </is>
      </c>
      <c r="B16">
        <f>B9+B10+B11+B12+B13+B14+B15</f>
        <v/>
      </c>
    </row>
    <row r="17">
      <c r="A17" t="inlineStr">
        <is>
          <t>CostoSinVerde</t>
        </is>
      </c>
      <c r="B17">
        <f>B16-B9</f>
        <v/>
      </c>
    </row>
    <row r="19">
      <c r="A19" t="inlineStr">
        <is>
          <t>VentaNeta</t>
        </is>
      </c>
      <c r="B19">
        <f>B4*PrecioVentaCuarto</f>
        <v/>
      </c>
    </row>
    <row r="20">
      <c r="A20" t="inlineStr">
        <is>
          <t>Utilidad</t>
        </is>
      </c>
      <c r="B20">
        <f>B19-B16</f>
        <v/>
      </c>
    </row>
    <row r="21">
      <c r="A21" t="inlineStr">
        <is>
          <t>Margen</t>
        </is>
      </c>
      <c r="B21">
        <f>IF(B19=0,0,B20/B19)</f>
        <v/>
      </c>
    </row>
    <row r="22">
      <c r="A22" t="inlineStr">
        <is>
          <t>Markup</t>
        </is>
      </c>
      <c r="B22">
        <f>IF(B16=0,0,B20/B16)</f>
        <v/>
      </c>
    </row>
    <row r="24">
      <c r="A24" t="inlineStr">
        <is>
          <t>CostoCuarto</t>
        </is>
      </c>
      <c r="B24">
        <f>IF(B4=0,0,B16/B4)</f>
        <v/>
      </c>
    </row>
    <row r="25">
      <c r="A25" t="inlineStr">
        <is>
          <t>CostoKgTostado</t>
        </is>
      </c>
      <c r="B25">
        <f>IF(B2=0,0,B16/B2)</f>
        <v/>
      </c>
    </row>
    <row r="26">
      <c r="A26" t="inlineStr">
        <is>
          <t>UtilidadCuarto</t>
        </is>
      </c>
      <c r="B26">
        <f>PrecioVentaCuarto-B24</f>
        <v/>
      </c>
    </row>
    <row r="27">
      <c r="A27" t="inlineStr">
        <is>
          <t>PrecioKgTostadoVenta</t>
        </is>
      </c>
      <c r="B27">
        <f>IF(B3=0,0,PrecioVentaCuarto/B3)</f>
        <v/>
      </c>
    </row>
    <row r="29">
      <c r="A29" t="inlineStr">
        <is>
          <t>IvaCredito</t>
        </is>
      </c>
      <c r="B29">
        <f>B16*IVA</f>
        <v/>
      </c>
    </row>
    <row r="30">
      <c r="A30" t="inlineStr">
        <is>
          <t>IvaDebito</t>
        </is>
      </c>
      <c r="B30">
        <f>B19*IVA</f>
        <v/>
      </c>
    </row>
    <row r="31">
      <c r="A31" t="inlineStr">
        <is>
          <t>IvaPagar</t>
        </is>
      </c>
      <c r="B31">
        <f>B30-B29</f>
        <v/>
      </c>
    </row>
    <row r="32">
      <c r="A32" t="inlineStr">
        <is>
          <t>CajaSalida</t>
        </is>
      </c>
      <c r="B32">
        <f>B16*(1+IVA)</f>
        <v/>
      </c>
    </row>
    <row r="33">
      <c r="A33" t="inlineStr">
        <is>
          <t>CajaEntrada</t>
        </is>
      </c>
      <c r="B33">
        <f>B19*(1+IVA)</f>
        <v/>
      </c>
    </row>
    <row r="34">
      <c r="A34" t="inlineStr">
        <is>
          <t>FlujoCaja</t>
        </is>
      </c>
      <c r="B34">
        <f>B33-B32</f>
        <v/>
      </c>
    </row>
    <row r="36">
      <c r="A36" t="inlineStr">
        <is>
          <t>PrecioVerdeMaxCero</t>
        </is>
      </c>
      <c r="B36">
        <f>IF(KgVerde=0,0,(B19-B17)/KgVerde)</f>
        <v/>
      </c>
    </row>
    <row r="37">
      <c r="A37" t="inlineStr">
        <is>
          <t>PrecioVerdeMaxObj</t>
        </is>
      </c>
      <c r="B37">
        <f>IF(KgVerde=0,0,(B19*(1-MargenObjetivo)-B17)/KgVerde)</f>
        <v/>
      </c>
    </row>
    <row r="38">
      <c r="A38" t="inlineStr">
        <is>
          <t>VentaMinCuarto</t>
        </is>
      </c>
      <c r="B38">
        <f>B24</f>
        <v/>
      </c>
    </row>
    <row r="39">
      <c r="A39" t="inlineStr">
        <is>
          <t>VentaMinObj</t>
        </is>
      </c>
      <c r="B39">
        <f>IF(1-MargenObjetivo=0,0,B24/(1-MargenObjetivo))</f>
        <v/>
      </c>
    </row>
    <row r="40">
      <c r="A40" t="inlineStr">
        <is>
          <t>Factible</t>
        </is>
      </c>
      <c r="B40">
        <f>IF(B21&gt;=MargenObjetivo,"FACTIBLE","REVISAR")</f>
        <v/>
      </c>
    </row>
    <row r="41">
      <c r="A41" t="inlineStr">
        <is>
          <t>CostoVerdeCuarto</t>
        </is>
      </c>
      <c r="B41">
        <f>IF(B4=0,0,B9/B4)</f>
        <v/>
      </c>
    </row>
    <row r="42">
      <c r="A42" t="inlineStr">
        <is>
          <t>CostoMaquilaCuarto</t>
        </is>
      </c>
      <c r="B42">
        <f>IF(B4=0,0,B10/B4)</f>
        <v/>
      </c>
    </row>
    <row r="43">
      <c r="A43" t="inlineStr">
        <is>
          <t>CostoBolsaCuarto</t>
        </is>
      </c>
      <c r="B43">
        <f>IF(B4=0,0,B11/B4)</f>
        <v/>
      </c>
    </row>
    <row r="44">
      <c r="A44" t="inlineStr">
        <is>
          <t>CostoEtiqCuarto</t>
        </is>
      </c>
      <c r="B44">
        <f>IF(B4=0,0,B12/B4)</f>
        <v/>
      </c>
    </row>
    <row r="45">
      <c r="A45" t="inlineStr">
        <is>
          <t>CostoOtrosCuarto</t>
        </is>
      </c>
      <c r="B45">
        <f>IF(B4=0,0,(B13+B14+B15)/B4)</f>
        <v/>
      </c>
    </row>
    <row r="46">
      <c r="A46" t="inlineStr">
        <is>
          <t>Rendimiento</t>
        </is>
      </c>
      <c r="B46">
        <f>1-MermaTostado</f>
        <v/>
      </c>
    </row>
    <row r="47">
      <c r="A47" t="inlineStr">
        <is>
          <t>CuartosPorKgVerde</t>
        </is>
      </c>
      <c r="B47">
        <f>IF(KgVerde=0,0,B4/KgVerde)</f>
        <v/>
      </c>
    </row>
  </sheetData>
  <pageMargins left="0.75" right="0.75" top="1" bottom="1" header="0.5" footer="0.5"/>
  <pageSetup paperSize="3"/>
  <headerFooter>
    <oddHeader>&amp;RConfidencial — Coffee Roasting Labs</oddHeader>
    <oddFooter>&amp;LFactibilidad cuartos Tostado Club&amp;RPágina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2026-09-04T23:31:26Z</dcterms:created>
  <dcterms:modified xsi:type="dcterms:W3CDTF">2026-09-04T23:31:26Z</dcterms:modified>
</cp:coreProperties>
</file>